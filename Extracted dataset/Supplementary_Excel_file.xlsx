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asimallelhenriquez/Dropbox/B_Projects/0_UniversityofOxford/GAPI/0_SR_NetworkMA/0_Article_CAP/"/>
    </mc:Choice>
  </mc:AlternateContent>
  <xr:revisionPtr revIDLastSave="0" documentId="13_ncr:1_{7CAAC573-8D46-3149-9D6B-6AFEEA9339C4}" xr6:coauthVersionLast="47" xr6:coauthVersionMax="47" xr10:uidLastSave="{00000000-0000-0000-0000-000000000000}"/>
  <bookViews>
    <workbookView xWindow="0" yWindow="640" windowWidth="34200" windowHeight="19180" xr2:uid="{0162EB85-C27C-1444-9B42-A167AB36F019}"/>
  </bookViews>
  <sheets>
    <sheet name="Index" sheetId="8" r:id="rId1"/>
    <sheet name="BBDD" sheetId="1" r:id="rId2"/>
    <sheet name="PrimaryPapers_review" sheetId="4" r:id="rId3"/>
    <sheet name="RoB-2" sheetId="5" r:id="rId4"/>
  </sheets>
  <definedNames>
    <definedName name="_xlnm._FilterDatabase" localSheetId="1" hidden="1">BBDD!$B$1:$CD$201</definedName>
    <definedName name="_xlnm._FilterDatabase" localSheetId="2" hidden="1">PrimaryPapers_review!$A$1:$AV$261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5" i="4" l="1"/>
  <c r="AC3" i="1"/>
  <c r="AD3" i="1" s="1"/>
  <c r="AC4" i="1"/>
  <c r="AD4" i="1"/>
  <c r="AD5" i="1"/>
  <c r="AD6" i="1"/>
  <c r="AC7" i="1"/>
  <c r="AD7" i="1"/>
  <c r="AD8" i="1"/>
  <c r="AD9" i="1"/>
  <c r="AD10" i="1"/>
  <c r="AD11" i="1"/>
  <c r="AD12" i="1"/>
  <c r="AD13" i="1"/>
  <c r="AC14" i="1"/>
  <c r="AD14" i="1"/>
  <c r="AD15" i="1"/>
  <c r="AC16" i="1"/>
  <c r="AD16" i="1"/>
  <c r="AC17" i="1"/>
  <c r="AD17" i="1"/>
  <c r="AD18" i="1"/>
  <c r="AC19" i="1"/>
  <c r="AD19" i="1"/>
  <c r="AC20" i="1"/>
  <c r="AD20" i="1"/>
  <c r="AC21" i="1"/>
  <c r="AD21" i="1"/>
  <c r="AC22" i="1"/>
  <c r="AD22" i="1"/>
  <c r="AD23" i="1"/>
  <c r="AD24" i="1"/>
  <c r="AD25" i="1"/>
  <c r="AD26" i="1"/>
  <c r="AD27" i="1"/>
  <c r="AD28" i="1"/>
  <c r="AD29" i="1"/>
  <c r="AD30" i="1"/>
  <c r="AC31" i="1"/>
  <c r="AD31" i="1"/>
  <c r="AD32" i="1"/>
  <c r="AC33" i="1"/>
  <c r="AD33" i="1"/>
  <c r="AD34" i="1"/>
  <c r="AC35" i="1"/>
  <c r="AD35" i="1"/>
  <c r="AC36" i="1"/>
  <c r="AD36" i="1"/>
  <c r="AD37" i="1"/>
  <c r="AC38" i="1"/>
  <c r="AD38" i="1"/>
  <c r="AD39" i="1"/>
  <c r="AD40" i="1"/>
  <c r="AC41" i="1"/>
  <c r="AD41" i="1"/>
  <c r="AC42" i="1"/>
  <c r="AD42" i="1" s="1"/>
  <c r="AC43" i="1"/>
  <c r="AD43" i="1" s="1"/>
  <c r="AC44" i="1"/>
  <c r="AD44" i="1"/>
  <c r="AC45" i="1"/>
  <c r="AD45" i="1"/>
  <c r="AC46" i="1"/>
  <c r="AD46" i="1"/>
  <c r="AC47" i="1"/>
  <c r="AD47" i="1"/>
  <c r="AC48" i="1"/>
  <c r="AD48" i="1"/>
  <c r="AC49" i="1"/>
  <c r="AD49" i="1" s="1"/>
  <c r="AC50" i="1"/>
  <c r="AD50" i="1" s="1"/>
  <c r="AC51" i="1"/>
  <c r="AD51" i="1" s="1"/>
  <c r="AC52" i="1"/>
  <c r="AD52" i="1" s="1"/>
  <c r="AC53" i="1"/>
  <c r="AD53" i="1"/>
  <c r="AC54" i="1"/>
  <c r="AD54" i="1"/>
  <c r="AD55" i="1"/>
  <c r="AC56" i="1"/>
  <c r="AD56" i="1" s="1"/>
  <c r="AD57" i="1"/>
  <c r="AC58" i="1"/>
  <c r="AD58" i="1"/>
  <c r="AD59" i="1"/>
  <c r="AC60" i="1"/>
  <c r="AD60" i="1"/>
  <c r="AD61" i="1"/>
  <c r="AD62" i="1"/>
  <c r="AD63" i="1"/>
  <c r="AD64" i="1"/>
  <c r="AD65" i="1"/>
  <c r="AD66" i="1"/>
  <c r="AD67" i="1"/>
  <c r="AC68" i="1"/>
  <c r="AD68" i="1" s="1"/>
  <c r="AD69" i="1"/>
  <c r="AC70" i="1"/>
  <c r="AD70" i="1" s="1"/>
  <c r="AD71" i="1"/>
  <c r="AC72" i="1"/>
  <c r="AD72" i="1" s="1"/>
  <c r="AC73" i="1"/>
  <c r="AD73" i="1"/>
  <c r="AC74" i="1"/>
  <c r="AD74" i="1"/>
  <c r="AC75" i="1"/>
  <c r="AD75" i="1"/>
  <c r="AC76" i="1"/>
  <c r="AD76" i="1"/>
  <c r="AC77" i="1"/>
  <c r="AD77" i="1"/>
  <c r="AC78" i="1"/>
  <c r="AD78" i="1"/>
  <c r="AC79" i="1"/>
  <c r="AD79" i="1"/>
  <c r="AC80" i="1"/>
  <c r="AD80" i="1" s="1"/>
  <c r="AC81" i="1"/>
  <c r="AD81" i="1"/>
  <c r="AD82" i="1"/>
  <c r="AD83" i="1"/>
  <c r="AD84" i="1"/>
  <c r="AD85" i="1"/>
  <c r="AD86" i="1"/>
  <c r="AC87" i="1"/>
  <c r="AD87" i="1" s="1"/>
  <c r="AC88" i="1"/>
  <c r="AD88" i="1"/>
  <c r="AC89" i="1"/>
  <c r="AD89" i="1" s="1"/>
  <c r="AC90" i="1"/>
  <c r="AD90" i="1"/>
  <c r="AD91" i="1"/>
  <c r="AC92" i="1"/>
  <c r="AD92" i="1"/>
  <c r="AC93" i="1"/>
  <c r="AD93" i="1" s="1"/>
  <c r="AC94" i="1"/>
  <c r="AD94" i="1"/>
  <c r="AC95" i="1"/>
  <c r="AD95" i="1" s="1"/>
  <c r="AD96" i="1"/>
  <c r="AD97" i="1"/>
  <c r="AC98" i="1"/>
  <c r="AD98" i="1"/>
  <c r="AD99" i="1"/>
  <c r="AC100" i="1"/>
  <c r="AD100" i="1" s="1"/>
  <c r="AC101" i="1"/>
  <c r="AD101" i="1" s="1"/>
  <c r="AC102" i="1"/>
  <c r="AD102" i="1" s="1"/>
  <c r="AC103" i="1"/>
  <c r="AD103" i="1" s="1"/>
  <c r="AC104" i="1"/>
  <c r="AD104" i="1"/>
  <c r="AC105" i="1"/>
  <c r="AD105" i="1" s="1"/>
  <c r="AC106" i="1"/>
  <c r="AD106" i="1"/>
  <c r="AC107" i="1"/>
  <c r="AD107" i="1" s="1"/>
  <c r="AC108" i="1"/>
  <c r="AD108" i="1" s="1"/>
  <c r="AC109" i="1"/>
  <c r="AD109" i="1"/>
  <c r="AC110" i="1"/>
  <c r="AD110" i="1" s="1"/>
  <c r="AC111" i="1"/>
  <c r="AD111" i="1" s="1"/>
  <c r="AC112" i="1"/>
  <c r="AD112" i="1" s="1"/>
  <c r="AC113" i="1"/>
  <c r="AD113" i="1" s="1"/>
  <c r="AC114" i="1"/>
  <c r="AD114" i="1"/>
  <c r="AC115" i="1"/>
  <c r="AD115" i="1" s="1"/>
  <c r="AC116" i="1"/>
  <c r="AD116" i="1" s="1"/>
  <c r="AC117" i="1"/>
  <c r="AD117" i="1" s="1"/>
  <c r="AC118" i="1"/>
  <c r="AD118" i="1"/>
  <c r="AD119" i="1"/>
  <c r="AD120" i="1"/>
  <c r="AC121" i="1"/>
  <c r="AD121" i="1"/>
  <c r="AD122" i="1"/>
  <c r="AD123" i="1"/>
  <c r="AD124" i="1"/>
  <c r="AC125" i="1"/>
  <c r="AD125" i="1"/>
  <c r="AC126" i="1"/>
  <c r="AD126" i="1"/>
  <c r="AC127" i="1"/>
  <c r="AD127" i="1"/>
  <c r="AD128" i="1"/>
  <c r="AD129" i="1"/>
  <c r="AD130" i="1"/>
  <c r="AC131" i="1"/>
  <c r="AD131" i="1"/>
  <c r="AC132" i="1"/>
  <c r="AD132" i="1"/>
  <c r="AC133" i="1"/>
  <c r="AD133" i="1"/>
  <c r="AC134" i="1"/>
  <c r="AD134" i="1"/>
  <c r="AC135" i="1"/>
  <c r="AD135" i="1"/>
  <c r="AC136" i="1"/>
  <c r="AD136" i="1"/>
  <c r="AC137" i="1"/>
  <c r="AD137" i="1"/>
  <c r="AC138" i="1"/>
  <c r="AD138" i="1"/>
  <c r="AC139" i="1"/>
  <c r="AD139" i="1"/>
  <c r="AC140" i="1"/>
  <c r="AD140" i="1"/>
  <c r="AC141" i="1"/>
  <c r="AD141" i="1"/>
  <c r="AD142" i="1"/>
  <c r="AD143" i="1"/>
  <c r="AC144" i="1"/>
  <c r="AD144" i="1"/>
  <c r="AC145" i="1"/>
  <c r="AD145" i="1"/>
  <c r="AC146" i="1"/>
  <c r="AD146" i="1"/>
  <c r="AC147" i="1"/>
  <c r="AD147" i="1"/>
  <c r="AD148" i="1"/>
  <c r="AC149" i="1"/>
  <c r="AD149" i="1"/>
  <c r="AD150" i="1"/>
  <c r="AD151" i="1"/>
  <c r="AC152" i="1"/>
  <c r="AD152" i="1"/>
  <c r="AC153" i="1"/>
  <c r="AD153" i="1"/>
  <c r="AC154" i="1"/>
  <c r="AD154" i="1"/>
  <c r="AC155" i="1"/>
  <c r="AD155" i="1" s="1"/>
  <c r="AD156" i="1"/>
  <c r="AD157" i="1"/>
  <c r="AC158" i="1"/>
  <c r="AD158" i="1"/>
  <c r="AC159" i="1"/>
  <c r="AD159" i="1"/>
  <c r="AC160" i="1"/>
  <c r="AD160" i="1" s="1"/>
  <c r="AC161" i="1"/>
  <c r="AD161" i="1"/>
  <c r="AC162" i="1"/>
  <c r="AD162" i="1"/>
  <c r="AD163" i="1"/>
  <c r="AD164" i="1"/>
  <c r="AC165" i="1"/>
  <c r="AD165" i="1"/>
  <c r="AC166" i="1"/>
  <c r="AD166" i="1"/>
  <c r="AC167" i="1"/>
  <c r="AD167" i="1"/>
  <c r="AC168" i="1"/>
  <c r="AD168" i="1" s="1"/>
  <c r="AC169" i="1"/>
  <c r="AD169" i="1" s="1"/>
  <c r="AD170" i="1"/>
  <c r="AD171" i="1"/>
  <c r="AD172" i="1"/>
  <c r="AD173" i="1"/>
  <c r="AD174" i="1"/>
  <c r="AD175" i="1"/>
  <c r="AD176" i="1"/>
  <c r="AC177" i="1"/>
  <c r="AD177" i="1"/>
  <c r="AC178" i="1"/>
  <c r="AD178" i="1" s="1"/>
  <c r="AC179" i="1"/>
  <c r="AD179" i="1"/>
  <c r="AD180" i="1"/>
  <c r="AD181" i="1"/>
  <c r="AD182" i="1"/>
  <c r="AC183" i="1"/>
  <c r="AD183" i="1"/>
  <c r="AC184" i="1"/>
  <c r="AD184" i="1"/>
  <c r="AC185" i="1"/>
  <c r="AD185" i="1" s="1"/>
  <c r="AC186" i="1"/>
  <c r="AD186" i="1"/>
  <c r="AC187" i="1"/>
  <c r="AD187" i="1" s="1"/>
  <c r="AD188" i="1"/>
  <c r="AC189" i="1"/>
  <c r="AD189" i="1" s="1"/>
  <c r="AC190" i="1"/>
  <c r="AD190" i="1"/>
  <c r="AC191" i="1"/>
  <c r="AD191" i="1"/>
  <c r="AC192" i="1"/>
  <c r="AD192" i="1"/>
  <c r="AD193" i="1"/>
  <c r="AD194" i="1"/>
  <c r="AC195" i="1"/>
  <c r="AD195" i="1" s="1"/>
  <c r="AC196" i="1"/>
  <c r="AD196" i="1" s="1"/>
  <c r="AD197" i="1"/>
  <c r="AD198" i="1"/>
  <c r="AC199" i="1"/>
  <c r="AD199" i="1" s="1"/>
  <c r="AC200" i="1"/>
  <c r="AD200" i="1" s="1"/>
  <c r="AD201" i="1"/>
  <c r="AD2" i="1"/>
  <c r="W2" i="1"/>
  <c r="V38" i="1"/>
  <c r="W38" i="1"/>
  <c r="W39" i="1"/>
  <c r="W40" i="1"/>
  <c r="V41" i="1"/>
  <c r="W41" i="1"/>
  <c r="V42" i="1"/>
  <c r="W42" i="1" s="1"/>
  <c r="V43" i="1"/>
  <c r="W43" i="1" s="1"/>
  <c r="V44" i="1"/>
  <c r="W44" i="1"/>
  <c r="V45" i="1"/>
  <c r="W45" i="1" s="1"/>
  <c r="V46" i="1"/>
  <c r="W46" i="1" s="1"/>
  <c r="V47" i="1"/>
  <c r="W47" i="1" s="1"/>
  <c r="V48" i="1"/>
  <c r="W48" i="1"/>
  <c r="V49" i="1"/>
  <c r="W49" i="1" s="1"/>
  <c r="V50" i="1"/>
  <c r="W50" i="1"/>
  <c r="V51" i="1"/>
  <c r="W51" i="1" s="1"/>
  <c r="V52" i="1"/>
  <c r="W52" i="1"/>
  <c r="V53" i="1"/>
  <c r="W53" i="1" s="1"/>
  <c r="V54" i="1"/>
  <c r="W54" i="1" s="1"/>
  <c r="W55" i="1"/>
  <c r="V56" i="1"/>
  <c r="W56" i="1" s="1"/>
  <c r="W57" i="1"/>
  <c r="V58" i="1"/>
  <c r="W58" i="1" s="1"/>
  <c r="V59" i="1"/>
  <c r="W59" i="1" s="1"/>
  <c r="V60" i="1"/>
  <c r="W60" i="1" s="1"/>
  <c r="W61" i="1"/>
  <c r="W62" i="1"/>
  <c r="W63" i="1"/>
  <c r="W64" i="1"/>
  <c r="W65" i="1"/>
  <c r="W66" i="1"/>
  <c r="W67" i="1"/>
  <c r="V68" i="1"/>
  <c r="W68" i="1"/>
  <c r="V69" i="1"/>
  <c r="W69" i="1" s="1"/>
  <c r="V70" i="1"/>
  <c r="W70" i="1" s="1"/>
  <c r="W71" i="1"/>
  <c r="V72" i="1"/>
  <c r="W72" i="1"/>
  <c r="V73" i="1"/>
  <c r="W73" i="1"/>
  <c r="V74" i="1"/>
  <c r="W74" i="1" s="1"/>
  <c r="V75" i="1"/>
  <c r="W75" i="1"/>
  <c r="V76" i="1"/>
  <c r="W76" i="1" s="1"/>
  <c r="V77" i="1"/>
  <c r="W77" i="1"/>
  <c r="V78" i="1"/>
  <c r="W78" i="1"/>
  <c r="V79" i="1"/>
  <c r="W79" i="1"/>
  <c r="V80" i="1"/>
  <c r="W80" i="1"/>
  <c r="V81" i="1"/>
  <c r="W81" i="1"/>
  <c r="W82" i="1"/>
  <c r="W83" i="1"/>
  <c r="W84" i="1"/>
  <c r="W85" i="1"/>
  <c r="W86" i="1"/>
  <c r="W87" i="1"/>
  <c r="V88" i="1"/>
  <c r="W88" i="1"/>
  <c r="V89" i="1"/>
  <c r="W89" i="1"/>
  <c r="V90" i="1"/>
  <c r="W90" i="1"/>
  <c r="W91" i="1"/>
  <c r="V92" i="1"/>
  <c r="W92" i="1"/>
  <c r="V93" i="1"/>
  <c r="W93" i="1"/>
  <c r="V94" i="1"/>
  <c r="W94" i="1"/>
  <c r="V95" i="1"/>
  <c r="W95" i="1"/>
  <c r="W96" i="1"/>
  <c r="V97" i="1"/>
  <c r="W97" i="1"/>
  <c r="V98" i="1"/>
  <c r="W98" i="1" s="1"/>
  <c r="W99" i="1"/>
  <c r="V100" i="1"/>
  <c r="W100" i="1"/>
  <c r="W101" i="1"/>
  <c r="V102" i="1"/>
  <c r="W102" i="1"/>
  <c r="V103" i="1"/>
  <c r="W103" i="1" s="1"/>
  <c r="V104" i="1"/>
  <c r="W104" i="1"/>
  <c r="V105" i="1"/>
  <c r="W105" i="1" s="1"/>
  <c r="V106" i="1"/>
  <c r="W106" i="1" s="1"/>
  <c r="V107" i="1"/>
  <c r="W107" i="1" s="1"/>
  <c r="V108" i="1"/>
  <c r="W108" i="1" s="1"/>
  <c r="V109" i="1"/>
  <c r="W109" i="1"/>
  <c r="V110" i="1"/>
  <c r="W110" i="1"/>
  <c r="V111" i="1"/>
  <c r="W111" i="1" s="1"/>
  <c r="V112" i="1"/>
  <c r="W112" i="1" s="1"/>
  <c r="V113" i="1"/>
  <c r="W113" i="1"/>
  <c r="V114" i="1"/>
  <c r="W114" i="1" s="1"/>
  <c r="V115" i="1"/>
  <c r="W115" i="1" s="1"/>
  <c r="V116" i="1"/>
  <c r="W116" i="1"/>
  <c r="V117" i="1"/>
  <c r="W117" i="1"/>
  <c r="V118" i="1"/>
  <c r="W118" i="1"/>
  <c r="W119" i="1"/>
  <c r="W120" i="1"/>
  <c r="V121" i="1"/>
  <c r="W121" i="1"/>
  <c r="W122" i="1"/>
  <c r="W123" i="1"/>
  <c r="W124" i="1"/>
  <c r="V125" i="1"/>
  <c r="W125" i="1"/>
  <c r="V126" i="1"/>
  <c r="W126" i="1"/>
  <c r="V127" i="1"/>
  <c r="W127" i="1" s="1"/>
  <c r="W128" i="1"/>
  <c r="W129" i="1"/>
  <c r="W130" i="1"/>
  <c r="V131" i="1"/>
  <c r="W131" i="1" s="1"/>
  <c r="V132" i="1"/>
  <c r="W132" i="1" s="1"/>
  <c r="V133" i="1"/>
  <c r="W133" i="1"/>
  <c r="V134" i="1"/>
  <c r="W134" i="1"/>
  <c r="V135" i="1"/>
  <c r="W135" i="1" s="1"/>
  <c r="V136" i="1"/>
  <c r="W136" i="1"/>
  <c r="V137" i="1"/>
  <c r="W137" i="1"/>
  <c r="V138" i="1"/>
  <c r="W138" i="1"/>
  <c r="V139" i="1"/>
  <c r="W139" i="1" s="1"/>
  <c r="V140" i="1"/>
  <c r="W140" i="1"/>
  <c r="V141" i="1"/>
  <c r="W141" i="1" s="1"/>
  <c r="W142" i="1"/>
  <c r="W143" i="1"/>
  <c r="W144" i="1"/>
  <c r="V145" i="1"/>
  <c r="W145" i="1" s="1"/>
  <c r="V146" i="1"/>
  <c r="W146" i="1" s="1"/>
  <c r="V147" i="1"/>
  <c r="W147" i="1"/>
  <c r="W148" i="1"/>
  <c r="V149" i="1"/>
  <c r="W149" i="1" s="1"/>
  <c r="W150" i="1"/>
  <c r="W151" i="1"/>
  <c r="V152" i="1"/>
  <c r="W152" i="1" s="1"/>
  <c r="V153" i="1"/>
  <c r="W153" i="1"/>
  <c r="V154" i="1"/>
  <c r="W154" i="1" s="1"/>
  <c r="V155" i="1"/>
  <c r="W155" i="1" s="1"/>
  <c r="W156" i="1"/>
  <c r="W157" i="1"/>
  <c r="V158" i="1"/>
  <c r="W158" i="1" s="1"/>
  <c r="V159" i="1"/>
  <c r="W159" i="1" s="1"/>
  <c r="V160" i="1"/>
  <c r="W160" i="1"/>
  <c r="V161" i="1"/>
  <c r="W161" i="1"/>
  <c r="V162" i="1"/>
  <c r="W162" i="1"/>
  <c r="W163" i="1"/>
  <c r="W164" i="1"/>
  <c r="V165" i="1"/>
  <c r="W165" i="1"/>
  <c r="V166" i="1"/>
  <c r="W166" i="1" s="1"/>
  <c r="V167" i="1"/>
  <c r="W167" i="1" s="1"/>
  <c r="V168" i="1"/>
  <c r="W168" i="1" s="1"/>
  <c r="V169" i="1"/>
  <c r="W169" i="1"/>
  <c r="W170" i="1"/>
  <c r="V171" i="1"/>
  <c r="W171" i="1"/>
  <c r="W172" i="1"/>
  <c r="W173" i="1"/>
  <c r="W174" i="1"/>
  <c r="W175" i="1"/>
  <c r="W176" i="1"/>
  <c r="V177" i="1"/>
  <c r="W177" i="1" s="1"/>
  <c r="V178" i="1"/>
  <c r="W178" i="1"/>
  <c r="V179" i="1"/>
  <c r="W179" i="1" s="1"/>
  <c r="W180" i="1"/>
  <c r="W181" i="1"/>
  <c r="W182" i="1"/>
  <c r="V183" i="1"/>
  <c r="W183" i="1" s="1"/>
  <c r="V184" i="1"/>
  <c r="W184" i="1"/>
  <c r="V185" i="1"/>
  <c r="W185" i="1" s="1"/>
  <c r="V186" i="1"/>
  <c r="W186" i="1" s="1"/>
  <c r="V187" i="1"/>
  <c r="W187" i="1"/>
  <c r="W188" i="1"/>
  <c r="V189" i="1"/>
  <c r="W189" i="1" s="1"/>
  <c r="V190" i="1"/>
  <c r="W190" i="1" s="1"/>
  <c r="V191" i="1"/>
  <c r="W191" i="1"/>
  <c r="V192" i="1"/>
  <c r="W192" i="1" s="1"/>
  <c r="V193" i="1"/>
  <c r="W193" i="1" s="1"/>
  <c r="W194" i="1"/>
  <c r="V195" i="1"/>
  <c r="W195" i="1" s="1"/>
  <c r="V196" i="1"/>
  <c r="W196" i="1" s="1"/>
  <c r="W197" i="1"/>
  <c r="W198" i="1"/>
  <c r="W199" i="1"/>
  <c r="W200" i="1"/>
  <c r="W201" i="1"/>
  <c r="V7" i="1"/>
  <c r="W7" i="1" s="1"/>
  <c r="W8" i="1"/>
  <c r="W9" i="1"/>
  <c r="W10" i="1"/>
  <c r="W11" i="1"/>
  <c r="W12" i="1"/>
  <c r="W13" i="1"/>
  <c r="V14" i="1"/>
  <c r="W14" i="1" s="1"/>
  <c r="W15" i="1"/>
  <c r="V16" i="1"/>
  <c r="W16" i="1" s="1"/>
  <c r="V17" i="1"/>
  <c r="W17" i="1" s="1"/>
  <c r="W18" i="1"/>
  <c r="V19" i="1"/>
  <c r="W19" i="1" s="1"/>
  <c r="W20" i="1"/>
  <c r="V21" i="1"/>
  <c r="W21" i="1" s="1"/>
  <c r="V22" i="1"/>
  <c r="W22" i="1" s="1"/>
  <c r="W23" i="1"/>
  <c r="W24" i="1"/>
  <c r="W25" i="1"/>
  <c r="W26" i="1"/>
  <c r="W27" i="1"/>
  <c r="W28" i="1"/>
  <c r="W29" i="1"/>
  <c r="W30" i="1"/>
  <c r="V31" i="1"/>
  <c r="W31" i="1" s="1"/>
  <c r="W32" i="1"/>
  <c r="V33" i="1"/>
  <c r="W33" i="1" s="1"/>
  <c r="W34" i="1"/>
  <c r="V35" i="1"/>
  <c r="W35" i="1" s="1"/>
  <c r="V36" i="1"/>
  <c r="W36" i="1"/>
  <c r="W37" i="1"/>
  <c r="V3" i="1"/>
  <c r="W3" i="1"/>
  <c r="V4" i="1"/>
  <c r="W4" i="1" s="1"/>
  <c r="W5" i="1"/>
  <c r="W6" i="1"/>
  <c r="BT201" i="1"/>
  <c r="BV200" i="1"/>
  <c r="BU200" i="1"/>
  <c r="BT200" i="1"/>
  <c r="BT199" i="1"/>
  <c r="AG199" i="1"/>
  <c r="BU198" i="1"/>
  <c r="BV198" i="1"/>
  <c r="BV197" i="1"/>
  <c r="BU197" i="1"/>
  <c r="BT197" i="1"/>
  <c r="BT198" i="1"/>
  <c r="AG198" i="1"/>
  <c r="AG197" i="1"/>
  <c r="AK196" i="1"/>
  <c r="BT196" i="1"/>
  <c r="BV196" i="1"/>
  <c r="BU196" i="1"/>
  <c r="AG196" i="1"/>
  <c r="BV195" i="1"/>
  <c r="BU195" i="1"/>
  <c r="AG195" i="1"/>
  <c r="AW193" i="1"/>
  <c r="BP194" i="1"/>
  <c r="BP193" i="1"/>
  <c r="AK194" i="1"/>
  <c r="AK193" i="1"/>
  <c r="AG194" i="1"/>
  <c r="AG193" i="1"/>
  <c r="BF191" i="1"/>
  <c r="AM191" i="1"/>
  <c r="AJ191" i="1"/>
  <c r="BC191" i="1"/>
  <c r="AJ190" i="1"/>
  <c r="BC190" i="1"/>
  <c r="BF189" i="1"/>
  <c r="BC189" i="1"/>
  <c r="AN189" i="1"/>
  <c r="AK189" i="1"/>
  <c r="BG188" i="1"/>
  <c r="AK188" i="1"/>
  <c r="AG187" i="1"/>
  <c r="BU187" i="1"/>
  <c r="BT187" i="1"/>
  <c r="BT186" i="1"/>
  <c r="BZ186" i="1"/>
  <c r="BY186" i="1"/>
  <c r="BU186" i="1"/>
  <c r="AK186" i="1"/>
  <c r="BZ185" i="1"/>
  <c r="BU185" i="1"/>
  <c r="BT185" i="1"/>
  <c r="BZ184" i="1"/>
  <c r="BV184" i="1"/>
  <c r="BU184" i="1"/>
  <c r="BT184" i="1"/>
  <c r="BU183" i="1"/>
  <c r="BL183" i="1"/>
  <c r="AS183" i="1"/>
  <c r="BG183" i="1"/>
  <c r="AK183" i="1"/>
  <c r="BZ182" i="1"/>
  <c r="BU182" i="1"/>
  <c r="BT182" i="1"/>
  <c r="BJ182" i="1"/>
  <c r="BE182" i="1"/>
  <c r="BG182" i="1"/>
  <c r="AL182" i="1"/>
  <c r="AN182" i="1"/>
  <c r="AK182" i="1"/>
  <c r="BE181" i="1"/>
  <c r="BT180" i="1"/>
  <c r="BZ180" i="1"/>
  <c r="AK180" i="1"/>
  <c r="BT179" i="1"/>
  <c r="BV179" i="1"/>
  <c r="BU179" i="1"/>
  <c r="BG179" i="1"/>
  <c r="AK179" i="1"/>
  <c r="AU178" i="1"/>
  <c r="BN178" i="1"/>
  <c r="BG178" i="1"/>
  <c r="AK178" i="1"/>
  <c r="AG178" i="1"/>
  <c r="BZ178" i="1"/>
  <c r="BU178" i="1"/>
  <c r="BT178" i="1"/>
  <c r="BG177" i="1"/>
  <c r="AN177" i="1"/>
  <c r="BA176" i="1"/>
  <c r="AH176" i="1"/>
  <c r="BG175" i="1"/>
  <c r="BV174" i="1"/>
  <c r="BU174" i="1"/>
  <c r="AN174" i="1"/>
  <c r="AP173" i="1"/>
  <c r="AO173" i="1"/>
  <c r="BI173" i="1"/>
  <c r="BT173" i="1"/>
  <c r="BJ172" i="1"/>
  <c r="AQ172" i="1"/>
  <c r="BG172" i="1"/>
  <c r="AN172" i="1"/>
  <c r="AK172" i="1"/>
  <c r="BT171" i="1"/>
  <c r="BY171" i="1"/>
  <c r="BV171" i="1"/>
  <c r="BU171" i="1"/>
  <c r="BF171" i="1"/>
  <c r="BE171" i="1"/>
  <c r="AM171" i="1"/>
  <c r="AL171" i="1"/>
  <c r="AK171" i="1"/>
  <c r="BT170" i="1"/>
  <c r="AN171" i="1"/>
  <c r="BT168" i="1"/>
  <c r="BU168" i="1"/>
  <c r="AG168" i="1"/>
  <c r="BG167" i="1"/>
  <c r="BF167" i="1"/>
  <c r="BG166" i="1"/>
  <c r="BF166" i="1"/>
  <c r="AN167" i="1"/>
  <c r="AM167" i="1"/>
  <c r="AN166" i="1"/>
  <c r="AM166" i="1"/>
  <c r="AK167" i="1"/>
  <c r="AJ167" i="1"/>
  <c r="AK166" i="1"/>
  <c r="AJ166" i="1"/>
  <c r="BC167" i="1"/>
  <c r="BC166" i="1"/>
  <c r="AG167" i="1"/>
  <c r="AG166" i="1"/>
  <c r="BU164" i="1"/>
  <c r="BT164" i="1"/>
  <c r="AG163" i="1"/>
  <c r="AQ162" i="1"/>
  <c r="BJ162" i="1"/>
  <c r="BU162" i="1"/>
  <c r="BT162" i="1"/>
  <c r="AG162" i="1"/>
  <c r="AL161" i="1"/>
  <c r="AI161" i="1"/>
  <c r="BT160" i="1"/>
  <c r="BE160" i="1"/>
  <c r="BF160" i="1"/>
  <c r="AL160" i="1"/>
  <c r="AG159" i="1"/>
  <c r="AG158" i="1"/>
  <c r="BZ157" i="1"/>
  <c r="BV157" i="1"/>
  <c r="BU157" i="1"/>
  <c r="BT157" i="1"/>
  <c r="AP157" i="1"/>
  <c r="BI157" i="1"/>
  <c r="BG157" i="1"/>
  <c r="BU156" i="1"/>
  <c r="BT156" i="1"/>
  <c r="AN156" i="1"/>
  <c r="AK156" i="1"/>
  <c r="AG156" i="1"/>
  <c r="BI153" i="1"/>
  <c r="BH153" i="1"/>
  <c r="AP153" i="1"/>
  <c r="AO153" i="1"/>
  <c r="AQ152" i="1"/>
  <c r="BU152" i="1"/>
  <c r="BT152" i="1"/>
  <c r="AG151" i="1"/>
  <c r="BC150" i="1"/>
  <c r="AJ150" i="1"/>
  <c r="AG148" i="1"/>
  <c r="BT146" i="1"/>
  <c r="AJ146" i="1"/>
  <c r="AG146" i="1"/>
  <c r="BZ145" i="1"/>
  <c r="BV145" i="1"/>
  <c r="BU145" i="1"/>
  <c r="BT145" i="1"/>
  <c r="AL143" i="1"/>
  <c r="AG142" i="1"/>
  <c r="BV141" i="1"/>
  <c r="BV140" i="1"/>
  <c r="BU141" i="1"/>
  <c r="BU140" i="1"/>
  <c r="BT141" i="1"/>
  <c r="BT140" i="1"/>
  <c r="BJ141" i="1"/>
  <c r="BJ140" i="1"/>
  <c r="AQ141" i="1"/>
  <c r="AQ140" i="1"/>
  <c r="BG141" i="1"/>
  <c r="BG140" i="1"/>
  <c r="AN141" i="1"/>
  <c r="AN140" i="1"/>
  <c r="AG141" i="1"/>
  <c r="AG140" i="1"/>
  <c r="AQ139" i="1"/>
  <c r="BG139" i="1"/>
  <c r="AN139" i="1"/>
  <c r="AK139" i="1"/>
  <c r="AQ138" i="1"/>
  <c r="BG138" i="1"/>
  <c r="AN138" i="1"/>
  <c r="AK138" i="1"/>
  <c r="BW138" i="1"/>
  <c r="BV138" i="1"/>
  <c r="BU138" i="1"/>
  <c r="BT138" i="1"/>
  <c r="AG138" i="1"/>
  <c r="BZ137" i="1"/>
  <c r="BV137" i="1"/>
  <c r="BU137" i="1"/>
  <c r="BT137" i="1"/>
  <c r="BJ137" i="1"/>
  <c r="AQ137" i="1"/>
  <c r="BG137" i="1"/>
  <c r="AN137" i="1"/>
  <c r="AG137" i="1"/>
  <c r="AG136" i="1"/>
  <c r="AG135" i="1"/>
  <c r="AQ136" i="1"/>
  <c r="AQ135" i="1"/>
  <c r="BG136" i="1"/>
  <c r="BG135" i="1"/>
  <c r="AN136" i="1"/>
  <c r="AN135" i="1"/>
  <c r="BZ134" i="1"/>
  <c r="BY134" i="1"/>
  <c r="BU134" i="1"/>
  <c r="BT134" i="1"/>
  <c r="BJ134" i="1"/>
  <c r="AQ134" i="1"/>
  <c r="BY133" i="1"/>
  <c r="BV133" i="1"/>
  <c r="BU133" i="1"/>
  <c r="BT133" i="1"/>
  <c r="BG133" i="1"/>
  <c r="BG132" i="1"/>
  <c r="BV132" i="1"/>
  <c r="BU132" i="1"/>
  <c r="BT132" i="1"/>
  <c r="AG131" i="1"/>
  <c r="AK131" i="1"/>
  <c r="AQ130" i="1"/>
  <c r="BG130" i="1"/>
  <c r="AN130" i="1"/>
  <c r="AK130" i="1"/>
  <c r="BZ130" i="1"/>
  <c r="BV130" i="1"/>
  <c r="BU130" i="1"/>
  <c r="BT130" i="1"/>
  <c r="BZ129" i="1"/>
  <c r="BV129" i="1"/>
  <c r="BU129" i="1"/>
  <c r="BT129" i="1"/>
  <c r="BF129" i="1"/>
  <c r="AM129" i="1"/>
  <c r="AG129" i="1"/>
  <c r="BZ128" i="1"/>
  <c r="BT128" i="1"/>
  <c r="BW128" i="1"/>
  <c r="BV128" i="1"/>
  <c r="BU128" i="1"/>
  <c r="BG128" i="1"/>
  <c r="AN128" i="1"/>
  <c r="AK128" i="1"/>
  <c r="BE127" i="1"/>
  <c r="AJ127" i="1"/>
  <c r="AL127" i="1"/>
  <c r="AG127" i="1"/>
  <c r="BT126" i="1"/>
  <c r="BT124" i="1"/>
  <c r="AL124" i="1"/>
  <c r="AM124" i="1"/>
  <c r="AI124" i="1"/>
  <c r="BE124" i="1"/>
  <c r="BZ123" i="1"/>
  <c r="BW123" i="1"/>
  <c r="BT123" i="1"/>
  <c r="BZ122" i="1"/>
  <c r="BX122" i="1"/>
  <c r="BW122" i="1"/>
  <c r="BV122" i="1"/>
  <c r="BU122" i="1"/>
  <c r="BT122" i="1"/>
  <c r="BZ121" i="1"/>
  <c r="BV121" i="1"/>
  <c r="BU121" i="1"/>
  <c r="BT121" i="1"/>
  <c r="AJ120" i="1"/>
  <c r="BC120" i="1"/>
  <c r="AG120" i="1"/>
  <c r="BG119" i="1"/>
  <c r="BT119" i="1"/>
  <c r="AN118" i="1"/>
  <c r="BG118" i="1"/>
  <c r="AK118" i="1"/>
  <c r="AG118" i="1"/>
  <c r="BT118" i="1"/>
  <c r="BU116" i="1"/>
  <c r="BT117" i="1"/>
  <c r="BT116" i="1"/>
  <c r="AP115" i="1"/>
  <c r="AO115" i="1"/>
  <c r="AQ115" i="1"/>
  <c r="BI115" i="1"/>
  <c r="BH115" i="1"/>
  <c r="BJ115" i="1"/>
  <c r="BG115" i="1"/>
  <c r="AN115" i="1"/>
  <c r="AK115" i="1"/>
  <c r="BZ115" i="1"/>
  <c r="BY115" i="1"/>
  <c r="BV115" i="1"/>
  <c r="BU115" i="1"/>
  <c r="BL114" i="1"/>
  <c r="BG114" i="1"/>
  <c r="AN114" i="1"/>
  <c r="AK114" i="1"/>
  <c r="BU114" i="1"/>
  <c r="BT114" i="1"/>
  <c r="BZ113" i="1"/>
  <c r="BY113" i="1"/>
  <c r="BV113" i="1"/>
  <c r="BU113" i="1"/>
  <c r="BT113" i="1"/>
  <c r="AQ113" i="1"/>
  <c r="BJ113" i="1"/>
  <c r="BC111" i="1"/>
  <c r="AJ111" i="1"/>
  <c r="BT110" i="1"/>
  <c r="BG109" i="1"/>
  <c r="AK109" i="1"/>
  <c r="BG108" i="1"/>
  <c r="AP107" i="1"/>
  <c r="AO107" i="1"/>
  <c r="BZ107" i="1"/>
  <c r="BT107" i="1"/>
  <c r="AM107" i="1"/>
  <c r="AG107" i="1"/>
  <c r="BG100" i="1"/>
  <c r="BG98" i="1"/>
  <c r="BG97" i="1"/>
  <c r="BG93" i="1"/>
  <c r="BG88" i="1"/>
  <c r="BG86" i="1"/>
  <c r="BG82" i="1"/>
  <c r="BF105" i="1"/>
  <c r="AM105" i="1"/>
  <c r="AG105" i="1"/>
  <c r="BG104" i="1"/>
  <c r="AK104" i="1"/>
  <c r="BT103" i="1"/>
  <c r="BM88" i="1"/>
  <c r="BM86" i="1"/>
  <c r="BJ99" i="1"/>
  <c r="BJ92" i="1"/>
  <c r="BJ84" i="1"/>
  <c r="AG84" i="1"/>
  <c r="AG101" i="1"/>
  <c r="AG100" i="1"/>
  <c r="AG99" i="1"/>
  <c r="AG98" i="1"/>
  <c r="AG97" i="1"/>
  <c r="AG96" i="1"/>
  <c r="AG92" i="1"/>
  <c r="AG90" i="1"/>
  <c r="AG89" i="1"/>
  <c r="AG88" i="1"/>
  <c r="AG87" i="1"/>
  <c r="AG86" i="1"/>
  <c r="AG85" i="1"/>
  <c r="AG83" i="1"/>
  <c r="AG82" i="1"/>
  <c r="BW80" i="1"/>
  <c r="BV80" i="1"/>
  <c r="BU80" i="1"/>
  <c r="BT80" i="1"/>
  <c r="BV79" i="1"/>
  <c r="BU79" i="1"/>
  <c r="BT79" i="1"/>
  <c r="BV78" i="1"/>
  <c r="BU78" i="1"/>
  <c r="BT78" i="1"/>
  <c r="AQ79" i="1"/>
  <c r="AG76" i="1"/>
  <c r="AJ76" i="1"/>
  <c r="BC76" i="1"/>
  <c r="AJ75" i="1"/>
  <c r="AM75" i="1"/>
  <c r="BF75" i="1"/>
  <c r="CB74" i="1"/>
  <c r="BV74" i="1"/>
  <c r="BT74" i="1"/>
  <c r="BU74" i="1"/>
  <c r="BF74" i="1"/>
  <c r="AJ74" i="1"/>
  <c r="AM74" i="1"/>
  <c r="BC77" i="1"/>
  <c r="AJ77" i="1"/>
  <c r="AG77" i="1"/>
  <c r="BC75" i="1"/>
  <c r="BC74" i="1"/>
  <c r="AG75" i="1"/>
  <c r="AG74" i="1"/>
  <c r="AK69" i="1"/>
  <c r="AK70" i="1"/>
  <c r="AK71" i="1"/>
  <c r="AK72" i="1"/>
  <c r="AK73" i="1"/>
  <c r="AK68" i="1"/>
  <c r="BG69" i="1"/>
  <c r="BG70" i="1"/>
  <c r="BG71" i="1"/>
  <c r="BG72" i="1"/>
  <c r="BG73" i="1"/>
  <c r="BG68" i="1"/>
  <c r="AN69" i="1"/>
  <c r="AN70" i="1"/>
  <c r="AN71" i="1"/>
  <c r="AN72" i="1"/>
  <c r="AN73" i="1"/>
  <c r="AN68" i="1"/>
  <c r="AG72" i="1"/>
  <c r="AG71" i="1"/>
  <c r="AG70" i="1"/>
  <c r="AG68" i="1"/>
  <c r="BT64" i="1"/>
  <c r="BT62" i="1"/>
  <c r="BG66" i="1"/>
  <c r="BG64" i="1"/>
  <c r="AQ66" i="1"/>
  <c r="AQ60" i="1"/>
  <c r="AG67" i="1"/>
  <c r="AG66" i="1"/>
  <c r="AG65" i="1"/>
  <c r="AK64" i="1"/>
  <c r="AG64" i="1"/>
  <c r="BT58" i="1"/>
  <c r="AG59" i="1"/>
  <c r="BG56" i="1"/>
  <c r="AG56" i="1"/>
  <c r="BT57" i="1"/>
  <c r="AS55" i="1"/>
  <c r="BL55" i="1"/>
  <c r="BZ55" i="1"/>
  <c r="BW55" i="1"/>
  <c r="BV55" i="1"/>
  <c r="BY55" i="1"/>
  <c r="BU55" i="1"/>
  <c r="BT55" i="1"/>
  <c r="BE55" i="1"/>
  <c r="AN55" i="1"/>
  <c r="AL55" i="1"/>
  <c r="AK55" i="1"/>
  <c r="AI55" i="1"/>
  <c r="BG54" i="1"/>
  <c r="AN54" i="1"/>
  <c r="AK54" i="1"/>
  <c r="BT54" i="1"/>
  <c r="BU54" i="1"/>
  <c r="BY54" i="1"/>
  <c r="BV54" i="1"/>
  <c r="BG53" i="1"/>
  <c r="BT53" i="1"/>
  <c r="AK52" i="1"/>
  <c r="AJ52" i="1" s="1"/>
  <c r="BG51" i="1"/>
  <c r="AN51" i="1"/>
  <c r="AK51" i="1"/>
  <c r="BC50" i="1"/>
  <c r="AJ50" i="1"/>
  <c r="AK49" i="1"/>
  <c r="AK48" i="1"/>
  <c r="AN47" i="1"/>
  <c r="AK47" i="1"/>
  <c r="BG46" i="1"/>
  <c r="AN46" i="1"/>
  <c r="AK46" i="1"/>
  <c r="BW45" i="1"/>
  <c r="BV45" i="1"/>
  <c r="BU45" i="1"/>
  <c r="BT45" i="1"/>
  <c r="BW44" i="1"/>
  <c r="BV44" i="1"/>
  <c r="BU44" i="1"/>
  <c r="BT44" i="1"/>
  <c r="AQ45" i="1"/>
  <c r="AQ44" i="1"/>
  <c r="AN45" i="1"/>
  <c r="AN44" i="1"/>
  <c r="AG45" i="1"/>
  <c r="AG44" i="1"/>
  <c r="AW43" i="1"/>
  <c r="AW42" i="1"/>
  <c r="BP43" i="1"/>
  <c r="BP42" i="1"/>
  <c r="BZ43" i="1"/>
  <c r="BY43" i="1"/>
  <c r="BW43" i="1"/>
  <c r="BV43" i="1"/>
  <c r="BU43" i="1"/>
  <c r="BT43" i="1"/>
  <c r="BZ42" i="1"/>
  <c r="BY42" i="1"/>
  <c r="BV42" i="1"/>
  <c r="BU42" i="1"/>
  <c r="BT42" i="1"/>
  <c r="AP43" i="1"/>
  <c r="AP42" i="1"/>
  <c r="AO43" i="1"/>
  <c r="AQ43" i="1" s="1"/>
  <c r="AO42" i="1"/>
  <c r="AQ42" i="1" s="1"/>
  <c r="BI43" i="1"/>
  <c r="BI42" i="1"/>
  <c r="BH43" i="1"/>
  <c r="BH42" i="1"/>
  <c r="BG43" i="1"/>
  <c r="BG42" i="1"/>
  <c r="BL42" i="1"/>
  <c r="BL43" i="1"/>
  <c r="AS43" i="1"/>
  <c r="AS42" i="1"/>
  <c r="AK43" i="1"/>
  <c r="AK42" i="1"/>
  <c r="AN43" i="1"/>
  <c r="AN42" i="1"/>
  <c r="AG43" i="1"/>
  <c r="AG42" i="1"/>
  <c r="BZ41" i="1"/>
  <c r="BV41" i="1"/>
  <c r="BU41" i="1"/>
  <c r="BT41" i="1"/>
  <c r="AK41" i="1"/>
  <c r="AN41" i="1"/>
  <c r="BZ40" i="1"/>
  <c r="BT40" i="1"/>
  <c r="BH40" i="1"/>
  <c r="BI40" i="1"/>
  <c r="AP40" i="1"/>
  <c r="AO40" i="1"/>
  <c r="AQ40" i="1"/>
  <c r="AK40" i="1"/>
  <c r="BV39" i="1"/>
  <c r="BW39" i="1"/>
  <c r="BU39" i="1"/>
  <c r="BT39" i="1"/>
  <c r="BJ39" i="1"/>
  <c r="AK39" i="1"/>
  <c r="BG39" i="1"/>
  <c r="AN39" i="1"/>
  <c r="BT38" i="1"/>
  <c r="BZ38" i="1"/>
  <c r="BU38" i="1"/>
  <c r="AM38" i="1"/>
  <c r="AN38" i="1"/>
  <c r="BF38" i="1"/>
  <c r="BG38" i="1"/>
  <c r="BU37" i="1"/>
  <c r="BT37" i="1"/>
  <c r="BC37" i="1"/>
  <c r="AJ37" i="1"/>
  <c r="AK37" i="1" s="1"/>
  <c r="BZ36" i="1"/>
  <c r="BY36" i="1"/>
  <c r="BV36" i="1"/>
  <c r="BU36" i="1"/>
  <c r="BT36" i="1"/>
  <c r="BZ35" i="1"/>
  <c r="BU35" i="1"/>
  <c r="BT35" i="1"/>
  <c r="AQ36" i="1"/>
  <c r="BG36" i="1"/>
  <c r="BG35" i="1"/>
  <c r="AN35" i="1"/>
  <c r="AK35" i="1"/>
  <c r="AK36" i="1"/>
  <c r="BZ34" i="1"/>
  <c r="BY34" i="1"/>
  <c r="BU34" i="1"/>
  <c r="BT34" i="1"/>
  <c r="BI34" i="1"/>
  <c r="BH34" i="1"/>
  <c r="BJ34" i="1" s="1"/>
  <c r="AP34" i="1"/>
  <c r="AQ34" i="1" s="1"/>
  <c r="BG34" i="1"/>
  <c r="AN34" i="1"/>
  <c r="BZ33" i="1"/>
  <c r="BV33" i="1"/>
  <c r="BU33" i="1"/>
  <c r="BT33" i="1"/>
  <c r="BL32" i="1"/>
  <c r="AS32" i="1"/>
  <c r="AP32" i="1"/>
  <c r="AO32" i="1"/>
  <c r="AQ32" i="1"/>
  <c r="BY32" i="1"/>
  <c r="BU32" i="1"/>
  <c r="BT32" i="1"/>
  <c r="BH32" i="1"/>
  <c r="BJ32" i="1" s="1"/>
  <c r="BI32" i="1"/>
  <c r="BG32" i="1"/>
  <c r="AN32" i="1"/>
  <c r="AK32" i="1"/>
  <c r="AG32" i="1"/>
  <c r="BY31" i="1"/>
  <c r="BT31" i="1"/>
  <c r="BY30" i="1"/>
  <c r="BW30" i="1"/>
  <c r="BV30" i="1"/>
  <c r="BU30" i="1"/>
  <c r="BT30" i="1"/>
  <c r="BJ30" i="1"/>
  <c r="BG30" i="1"/>
  <c r="AK30" i="1"/>
  <c r="AK29" i="1"/>
  <c r="BT29" i="1"/>
  <c r="BM28" i="1"/>
  <c r="AT28" i="1"/>
  <c r="BJ28" i="1"/>
  <c r="AQ28" i="1"/>
  <c r="AN28" i="1"/>
  <c r="AK28" i="1"/>
  <c r="BY28" i="1"/>
  <c r="BZ27" i="1"/>
  <c r="BT27" i="1"/>
  <c r="BT26" i="1"/>
  <c r="AK27" i="1"/>
  <c r="AK26" i="1"/>
  <c r="AG27" i="1"/>
  <c r="AG26" i="1"/>
  <c r="AT25" i="1"/>
  <c r="BW24" i="1"/>
  <c r="BV24" i="1"/>
  <c r="BU24" i="1"/>
  <c r="BT24" i="1"/>
  <c r="BF24" i="1"/>
  <c r="AM24" i="1"/>
  <c r="AP24" i="1"/>
  <c r="AO24" i="1"/>
  <c r="AQ24" i="1"/>
  <c r="BI24" i="1"/>
  <c r="BH24" i="1"/>
  <c r="BJ24" i="1" s="1"/>
  <c r="BP24" i="1"/>
  <c r="AW24" i="1"/>
  <c r="AP23" i="1"/>
  <c r="AO23" i="1"/>
  <c r="AQ23" i="1" s="1"/>
  <c r="BI23" i="1"/>
  <c r="BJ23" i="1" s="1"/>
  <c r="BH23" i="1"/>
  <c r="BU23" i="1"/>
  <c r="BT23" i="1"/>
  <c r="BG23" i="1"/>
  <c r="AN23" i="1"/>
  <c r="AK23" i="1"/>
  <c r="BY22" i="1"/>
  <c r="BZ22" i="1"/>
  <c r="BV22" i="1"/>
  <c r="BU22" i="1"/>
  <c r="BT22" i="1"/>
  <c r="BI22" i="1"/>
  <c r="BH22" i="1"/>
  <c r="AP22" i="1"/>
  <c r="AO22" i="1"/>
  <c r="AK22" i="1"/>
  <c r="BZ21" i="1"/>
  <c r="BY21" i="1"/>
  <c r="BV21" i="1"/>
  <c r="BU21" i="1"/>
  <c r="BT21" i="1"/>
  <c r="AP21" i="1"/>
  <c r="AO21" i="1"/>
  <c r="AQ21" i="1"/>
  <c r="BH21" i="1"/>
  <c r="BI21" i="1"/>
  <c r="BL21" i="1"/>
  <c r="AS21" i="1"/>
  <c r="BG21" i="1"/>
  <c r="AN21" i="1"/>
  <c r="AK21" i="1"/>
  <c r="AK20" i="1"/>
  <c r="BZ19" i="1"/>
  <c r="BV19" i="1"/>
  <c r="BU19" i="1"/>
  <c r="BR18" i="1"/>
  <c r="BS18" i="1"/>
  <c r="AZ18" i="1"/>
  <c r="AY18" i="1"/>
  <c r="BZ18" i="1"/>
  <c r="BU18" i="1"/>
  <c r="BT18" i="1"/>
  <c r="BJ18" i="1"/>
  <c r="BG18" i="1"/>
  <c r="AP18" i="1"/>
  <c r="AO18" i="1"/>
  <c r="AQ18" i="1"/>
  <c r="AN18" i="1"/>
  <c r="AK18" i="1"/>
  <c r="AU17" i="1"/>
  <c r="AU16" i="1"/>
  <c r="AS16" i="1"/>
  <c r="AS17" i="1"/>
  <c r="AM17" i="1"/>
  <c r="AN17" i="1" s="1"/>
  <c r="AM16" i="1"/>
  <c r="AN16" i="1" s="1"/>
  <c r="BN17" i="1"/>
  <c r="BN16" i="1"/>
  <c r="BL16" i="1"/>
  <c r="BL17" i="1"/>
  <c r="BF16" i="1"/>
  <c r="BG16" i="1" s="1"/>
  <c r="BF17" i="1"/>
  <c r="BG17" i="1" s="1"/>
  <c r="AG17" i="1"/>
  <c r="AG16" i="1"/>
  <c r="BT15" i="1"/>
  <c r="BV15" i="1"/>
  <c r="BU15" i="1"/>
  <c r="AQ15" i="1"/>
  <c r="AK14" i="1"/>
  <c r="AQ14" i="1"/>
  <c r="BW6" i="1"/>
  <c r="BV6" i="1"/>
  <c r="BU6" i="1"/>
  <c r="BW2" i="1"/>
  <c r="BV2" i="1"/>
  <c r="BU2" i="1"/>
  <c r="BX2" i="1"/>
  <c r="BZ2" i="1"/>
  <c r="BZ5" i="1"/>
  <c r="BV5" i="1"/>
  <c r="BU5" i="1"/>
  <c r="BY13" i="1"/>
  <c r="BT13" i="1"/>
  <c r="BT12" i="1"/>
  <c r="BJ12" i="1"/>
  <c r="AQ13" i="1"/>
  <c r="AO12" i="1"/>
  <c r="AQ12" i="1"/>
  <c r="AK13" i="1"/>
  <c r="AK12" i="1"/>
  <c r="AG13" i="1"/>
  <c r="AG12" i="1"/>
  <c r="BV11" i="1"/>
  <c r="BT11" i="1"/>
  <c r="BI11" i="1"/>
  <c r="BH11" i="1"/>
  <c r="AP11" i="1"/>
  <c r="AO11" i="1"/>
  <c r="AK11" i="1"/>
  <c r="BG11" i="1"/>
  <c r="AN11" i="1"/>
  <c r="AP10" i="1"/>
  <c r="BI10" i="1"/>
  <c r="BJ10" i="1" s="1"/>
  <c r="AK10" i="1"/>
  <c r="BT9" i="1"/>
  <c r="BU9" i="1"/>
  <c r="BJ9" i="1"/>
  <c r="BG9" i="1"/>
  <c r="AQ9" i="1"/>
  <c r="AN9" i="1"/>
  <c r="AK9" i="1"/>
  <c r="AK8" i="1"/>
  <c r="AI8" i="1"/>
  <c r="BJ7" i="1"/>
  <c r="BG7" i="1"/>
  <c r="AN7" i="1"/>
  <c r="AK7" i="1"/>
  <c r="BJ6" i="1"/>
  <c r="BG6" i="1"/>
  <c r="BJ5" i="1"/>
  <c r="AQ6" i="1"/>
  <c r="AN6" i="1"/>
  <c r="AK6" i="1"/>
  <c r="BE5" i="1"/>
  <c r="BG5" i="1" s="1"/>
  <c r="AL5" i="1"/>
  <c r="AN5" i="1" s="1"/>
  <c r="AG5" i="1"/>
  <c r="AG4" i="1"/>
  <c r="AJ3" i="1"/>
  <c r="AG3" i="1"/>
  <c r="AG33" i="1"/>
  <c r="BG33" i="1"/>
  <c r="AN33" i="1"/>
  <c r="AQ11" i="1"/>
  <c r="BJ11" i="1"/>
  <c r="AG38" i="1"/>
  <c r="AK79" i="1"/>
  <c r="AK78" i="1"/>
  <c r="AG81" i="1"/>
  <c r="AG155" i="1"/>
  <c r="AG154" i="1"/>
  <c r="AK31" i="1"/>
  <c r="AN31" i="1"/>
  <c r="AG31" i="1"/>
  <c r="AG153" i="1"/>
  <c r="AN49" i="1"/>
  <c r="BG49" i="1"/>
  <c r="AG49" i="1"/>
  <c r="BC80" i="1"/>
  <c r="AJ80" i="1"/>
  <c r="AK80" i="1" s="1"/>
  <c r="BG80" i="1"/>
  <c r="AN80" i="1"/>
  <c r="AG80" i="1"/>
  <c r="BG121" i="1"/>
  <c r="AN121" i="1"/>
  <c r="AK121" i="1"/>
  <c r="AG121" i="1"/>
  <c r="AK19" i="1"/>
  <c r="BG134" i="1"/>
  <c r="AN134" i="1"/>
  <c r="AK134" i="1"/>
  <c r="BG117" i="1"/>
  <c r="BG116" i="1"/>
  <c r="AK25" i="1"/>
  <c r="AG25" i="1"/>
  <c r="BG22" i="1"/>
  <c r="AN22" i="1"/>
  <c r="AG22" i="1"/>
  <c r="AN145" i="1"/>
  <c r="BG145" i="1"/>
  <c r="AG145" i="1"/>
  <c r="AG19" i="1"/>
  <c r="AG134" i="1"/>
  <c r="AG117" i="1"/>
  <c r="AG116" i="1"/>
  <c r="AG113" i="1"/>
  <c r="BJ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tc={2F1D5D46-9C38-8349-97D4-79A985F2A2D3}</author>
    <author>tc={146DF1E4-A7FC-2346-88EF-914705EC1603}</author>
    <author>tc={75AEB351-56EF-B947-821F-53728BDCCECD}</author>
    <author>tc={D09AA3F6-49A2-0E4A-9329-48A550FC95EA}</author>
    <author>tc={B65AC19F-5ABA-FA41-A4DD-44335DEFA989}</author>
  </authors>
  <commentList>
    <comment ref="Q1" authorId="0" shapeId="0" xr:uid="{2F1D5D46-9C38-8349-97D4-79A985F2A2D3}">
      <text>
        <t>[Threaded comment]
Your version of Excel allows you to read this threaded comment; however, any edits to it will get removed if the file is opened in a newer version of Excel. Learn more: https://go.microsoft.com/fwlink/?linkid=870924
Comment:
    Hospital? Primary care? Community-based?</t>
      </text>
    </comment>
    <comment ref="BT1" authorId="1" shapeId="0" xr:uid="{146DF1E4-A7FC-2346-88EF-914705EC1603}">
      <text>
        <t>[Threaded comment]
Your version of Excel allows you to read this threaded comment; however, any edits to it will get removed if the file is opened in a newer version of Excel. Learn more: https://go.microsoft.com/fwlink/?linkid=870924
Comment:
    These are total isolates with positive isolates for pathogens (sometimes this number consider patients with multiple pathogens)</t>
      </text>
    </comment>
    <comment ref="BZ1" authorId="2" shapeId="0" xr:uid="{75AEB351-56EF-B947-821F-53728BDCCECD}">
      <text>
        <t>[Threaded comment]
Your version of Excel allows you to read this threaded comment; however, any edits to it will get removed if the file is opened in a newer version of Excel. Learn more: https://go.microsoft.com/fwlink/?linkid=870924
Comment:
    C pneumoniae, M pneumoniae, Coxiella burnetii, Legionella spp.</t>
      </text>
    </comment>
    <comment ref="S29" authorId="3" shapeId="0" xr:uid="{D09AA3F6-49A2-0E4A-9329-48A550FC95EA}">
      <text>
        <t>[Threaded comment]
Your version of Excel allows you to read this threaded comment; however, any edits to it will get removed if the file is opened in a newer version of Excel. Learn more: https://go.microsoft.com/fwlink/?linkid=870924
Comment:
    Ceftriaxone + sulbactam +EDTA</t>
      </text>
    </comment>
    <comment ref="CB74" authorId="4" shapeId="0" xr:uid="{B65AC19F-5ABA-FA41-A4DD-44335DEFA989}">
      <text>
        <t>[Threaded comment]
Your version of Excel allows you to read this threaded comment; however, any edits to it will get removed if the file is opened in a newer version of Excel. Learn more: https://go.microsoft.com/fwlink/?linkid=870924
Comment:
    354 out of the S pneumoniae and H influenzae only: non susceptible to penicillin/ampicillin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tc={2A2DD5E7-FC85-EE47-9820-7D84D972CFFF}</author>
    <author>tc={919C0092-D247-CB49-8A47-9E1DA4C9FE7C}</author>
    <author>tc={AA35026C-CA6F-A941-BE63-5E3D2C9698A3}</author>
    <author>tc={848BDC74-13F8-004A-8DC3-66C3185AB9BD}</author>
    <author>tc={4DFDD7B7-F83D-DB47-86EA-AB12AC4C47EE}</author>
    <author>tc={CB84D554-0176-CD41-9F4B-D7604989520C}</author>
    <author>tc={00B3663A-396D-654D-ADDA-37151353DA7F}</author>
    <author>tc={185E7634-0449-B04D-AB20-80A001A76185}</author>
    <author>tc={840F125D-758D-794C-8C13-E2AC487A2BBA}</author>
    <author>tc={1F43DFB3-9CDB-994E-9387-1EB104CAB36C}</author>
    <author>tc={F86B74B5-2554-D94F-83F5-394762852F5B}</author>
    <author>tc={1ED31AE1-FAD3-204A-8118-8CE448E61B60}</author>
    <author>tc={A45A4BC5-CE4E-4648-B745-74A2B6EA5DFB}</author>
    <author>tc={5DB6ED23-62EC-F34A-9FD7-337C41530402}</author>
    <author>tc={0994B38A-7DD8-AC42-A0A2-D09DD4C41A20}</author>
    <author>tc={D66A4A37-C47C-BA40-9290-B6E1879A3F5A}</author>
    <author>tc={8209395A-1516-344C-9058-DD3B5D273ACE}</author>
    <author>tc={4B06C0F9-9860-7144-A82F-083B8C1C0B8C}</author>
    <author>tc={D24CB270-838A-DB4A-904A-4CDE15803A92}</author>
    <author>tc={A1E73767-0FE2-F14F-9330-C0F24CA3089E}</author>
    <author>tc={ECDE6E46-CB69-5E4B-944E-90D5A8F37274}</author>
    <author>tc={D2AEEC64-AF66-4E42-925D-095266D12B08}</author>
    <author>tc={B6320BDE-B3F5-A940-B6C0-689042D75D0D}</author>
    <author>tc={0BBB24A9-248D-C549-A859-66C220BCABFC}</author>
    <author>tc={5007A721-1C85-B047-8ABA-913AEF4B0F7E}</author>
    <author>tc={EBBFBB98-696C-2B4D-840A-AC66A52BB55B}</author>
    <author>tc={3482908E-D3F9-4641-9831-04BD1A3DDDD3}</author>
    <author>tc={E39B2F08-DAF5-EA47-98B1-43F25C1A3EAD}</author>
    <author>tc={22FE56CC-99D0-694F-B167-40F9224B8519}</author>
    <author>tc={824C8B85-81EE-E046-A944-666A210A91BE}</author>
    <author>tc={0229BCA3-D5B8-A541-8AB8-B1CDCAFFBE21}</author>
    <author>tc={A9A7EC98-3129-0742-885E-D1C206C8040F}</author>
    <author>tc={F88976F7-47E9-CC4A-ACC2-6D0F0B86A054}</author>
    <author>tc={90EE3AF8-3C5E-F34C-AC52-0A2B26805544}</author>
    <author>tc={D9CAE010-62B0-8946-BF9D-0CF5296936D7}</author>
    <author>tc={1488FBAD-B09C-FD42-9852-FFA1735DBD09}</author>
    <author>tc={DBDEDEAC-9DC8-2042-A191-E2FA5E174739}</author>
    <author>tc={86F016D0-D4BA-DF4E-86FF-2969988AC5AC}</author>
    <author>tc={30B391C6-45BC-5847-A86B-6397F1025C3E}</author>
    <author>tc={0AD8A7F3-2A3C-6544-BA35-43C1D2397D8F}</author>
    <author>tc={9EEE08AB-0898-0641-BE14-8D114B2CD77C}</author>
    <author>tc={105188E7-63F2-FF4E-919B-6BDA2B35654C}</author>
    <author>tc={DC002B2E-D7D9-FE40-A9FB-5AD6EBCA164A}</author>
    <author>tc={35851739-E082-E24B-8845-0D8944056959}</author>
    <author>tc={3A6BDDF0-A788-BB4B-B71D-28A1122AD0BB}</author>
    <author>tc={EA5FCD54-430D-DF47-8B61-A9E2457816C2}</author>
    <author>tc={92BA9CA5-F285-7A4C-8E9B-FE99785C865E}</author>
    <author>tc={0F1ECF8A-5620-044C-B177-A56B46550865}</author>
    <author>tc={513D8D4B-5BFA-3B4C-8E4B-D718DECEADD4}</author>
    <author>tc={C0EE5386-3447-2D4B-B2A3-7C5C0C7145E4}</author>
    <author>tc={373E07A1-073A-924A-ADDA-DFB5AB4AF0A3}</author>
    <author>tc={044B39D0-4B17-3243-BF2B-BFB7E01A5312}</author>
    <author>tc={FC23294E-CB9E-CB41-BD50-D4EC1D7BEDA8}</author>
    <author>tc={3B559B0E-D2AC-084C-81C1-9FD2754D47FC}</author>
    <author>tc={C76F15AC-7CFE-C344-BEC4-E53183ADA70B}</author>
    <author>tc={B36186CF-8FFE-2749-BEA9-FBEC7D44DB48}</author>
    <author>tc={E6057AFB-D8CB-3C49-861D-48AFADF8F1E1}</author>
    <author>tc={65266C06-27A4-564D-BFFE-53EE37A701CB}</author>
    <author>tc={B83CD47C-8D7E-5040-A5B1-D3E3DBFBEB37}</author>
    <author>tc={E52D08E5-E452-3F46-B6B6-FB5FFE1AAB3B}</author>
    <author>tc={C768BCFE-F599-E74F-9AAC-B5C71BA5E6C6}</author>
    <author>tc={AA9D9010-EB28-384E-B257-26EE23DE6C6F}</author>
    <author>tc={CF669075-D53A-E246-9F93-520DA39FA5A5}</author>
    <author>tc={E8D22BD8-8B5B-6849-BDCF-96A9BE144BB9}</author>
    <author>tc={E6FDF16C-9327-E74A-83C0-4C17EF250A19}</author>
    <author>tc={21BDBD94-E6F8-9543-807B-0A952BFC2BF8}</author>
    <author>tc={25E1338D-D678-7748-A759-6BBEE0903393}</author>
    <author>tc={7872F0C2-9CA8-FB43-AA8D-E9E7E3415384}</author>
    <author>tc={74599E5D-6D67-EC44-99AC-57B1D4224840}</author>
    <author>tc={AA988933-A270-6349-8804-464E1B676E81}</author>
    <author>tc={ED7D8BF6-06F9-F84C-AC91-9CAC20DE8B18}</author>
    <author>tc={648372DD-D031-7245-BAF5-84324D96DB1D}</author>
    <author>tc={7185A262-F677-A742-A5FA-65997A0C9ABD}</author>
    <author>tc={3F1B8BEE-31BA-0B4C-BA8B-B4BA9027B0CA}</author>
    <author>tc={24291BBE-462C-764F-886B-55B95CE3C6F8}</author>
    <author>tc={024D119C-CC31-0F46-9FEA-079D3E4BEA8E}</author>
    <author>tc={97448ED8-BC13-DF46-8364-DE1089012809}</author>
    <author>tc={F01D1F23-CFCD-F949-AD6F-85C46076AC74}</author>
    <author>tc={05EA93D8-6EA9-5B43-8529-4C167CAEC479}</author>
    <author>tc={564817EA-E955-5E4F-9A2F-DE9651724D10}</author>
    <author>tc={2957C76D-A61A-094B-AC23-F856A5CEB144}</author>
  </authors>
  <commentList>
    <comment ref="AO7" authorId="0" shapeId="0" xr:uid="{2A2DD5E7-FC85-EE47-9820-7D84D972CFFF}">
      <text>
        <t>[Threaded comment]
Your version of Excel allows you to read this threaded comment; however, any edits to it will get removed if the file is opened in a newer version of Excel. Learn more: https://go.microsoft.com/fwlink/?linkid=870924
Comment:
    Not found</t>
      </text>
    </comment>
    <comment ref="F9" authorId="1" shapeId="0" xr:uid="{919C0092-D247-CB49-8A47-9E1DA4C9FE7C}">
      <text>
        <t>[Threaded comment]
Your version of Excel allows you to read this threaded comment; however, any edits to it will get removed if the file is opened in a newer version of Excel. Learn more: https://go.microsoft.com/fwlink/?linkid=870924
Comment:
    No specific antibiotic evaluated</t>
      </text>
    </comment>
    <comment ref="Z13" authorId="2" shapeId="0" xr:uid="{AA35026C-CA6F-A941-BE63-5E3D2C9698A3}">
      <text>
        <t>[Threaded comment]
Your version of Excel allows you to read this threaded comment; however, any edits to it will get removed if the file is opened in a newer version of Excel. Learn more: https://go.microsoft.com/fwlink/?linkid=870924
Comment:
    No outcomes, lack of results for our study</t>
      </text>
    </comment>
    <comment ref="AE15" authorId="3" shapeId="0" xr:uid="{848BDC74-13F8-004A-8DC3-66C3185AB9BD}">
      <text>
        <t>[Threaded comment]
Your version of Excel allows you to read this threaded comment; however, any edits to it will get removed if the file is opened in a newer version of Excel. Learn more: https://go.microsoft.com/fwlink/?linkid=870924
Comment:
    Not found</t>
      </text>
    </comment>
    <comment ref="AI21" authorId="4" shapeId="0" xr:uid="{4DFDD7B7-F83D-DB47-86EA-AB12AC4C47EE}">
      <text>
        <t>[Threaded comment]
Your version of Excel allows you to read this threaded comment; however, any edits to it will get removed if the file is opened in a newer version of Excel. Learn more: https://go.microsoft.com/fwlink/?linkid=870924
Comment:
    not found</t>
      </text>
    </comment>
    <comment ref="AR23" authorId="5" shapeId="0" xr:uid="{CB84D554-0176-CD41-9F4B-D7604989520C}">
      <text>
        <t>[Threaded comment]
Your version of Excel allows you to read this threaded comment; however, any edits to it will get removed if the file is opened in a newer version of Excel. Learn more: https://go.microsoft.com/fwlink/?linkid=870924
Comment:
    Cost-effectiveness analysis using Lode et al 2002 data</t>
      </text>
    </comment>
    <comment ref="R24" authorId="6" shapeId="0" xr:uid="{00B3663A-396D-654D-ADDA-37151353DA7F}">
      <text>
        <t>[Threaded comment]
Your version of Excel allows you to read this threaded comment; however, any edits to it will get removed if the file is opened in a newer version of Excel. Learn more: https://go.microsoft.com/fwlink/?linkid=870924
Comment:
    Different study design where 4 arms with different abx doses and durations are combined into two groups. We can not extract single dose/duration</t>
      </text>
    </comment>
    <comment ref="V24" authorId="7" shapeId="0" xr:uid="{185E7634-0449-B04D-AB20-80A001A76185}">
      <text>
        <t>[Threaded comment]
Your version of Excel allows you to read this threaded comment; however, any edits to it will get removed if the file is opened in a newer version of Excel. Learn more: https://go.microsoft.com/fwlink/?linkid=870924
Comment:
    Different study design where 4 arms with different abx doses and durations are combined into two groups. We can not extract</t>
      </text>
    </comment>
    <comment ref="AE26" authorId="8" shapeId="0" xr:uid="{840F125D-758D-794C-8C13-E2AC487A2BBA}">
      <text>
        <t>[Threaded comment]
Your version of Excel allows you to read this threaded comment; however, any edits to it will get removed if the file is opened in a newer version of Excel. Learn more: https://go.microsoft.com/fwlink/?linkid=870924
Comment:
    pathogen specific</t>
      </text>
    </comment>
    <comment ref="AB32" authorId="9" shapeId="0" xr:uid="{1F43DFB3-9CDB-994E-9387-1EB104CAB36C}">
      <text>
        <t>[Threaded comment]
Your version of Excel allows you to read this threaded comment; however, any edits to it will get removed if the file is opened in a newer version of Excel. Learn more: https://go.microsoft.com/fwlink/?linkid=870924
Comment:
    Not found</t>
      </text>
    </comment>
    <comment ref="Z33" authorId="10" shapeId="0" xr:uid="{F86B74B5-2554-D94F-83F5-394762852F5B}">
      <text>
        <t>[Threaded comment]
Your version of Excel allows you to read this threaded comment; however, any edits to it will get removed if the file is opened in a newer version of Excel. Learn more: https://go.microsoft.com/fwlink/?linkid=870924
Comment:
    No outcomes, lack of results for our study</t>
      </text>
    </comment>
    <comment ref="AE37" authorId="11" shapeId="0" xr:uid="{1ED31AE1-FAD3-204A-8118-8CE448E61B60}">
      <text>
        <t>[Threaded comment]
Your version of Excel allows you to read this threaded comment; however, any edits to it will get removed if the file is opened in a newer version of Excel. Learn more: https://go.microsoft.com/fwlink/?linkid=870924
Comment:
    pathogen pseudo specific, not CAP-speicifc</t>
      </text>
    </comment>
    <comment ref="AH40" authorId="12" shapeId="0" xr:uid="{A45A4BC5-CE4E-4648-B745-74A2B6EA5DFB}">
      <text>
        <t>[Threaded comment]
Your version of Excel allows you to read this threaded comment; however, any edits to it will get removed if the file is opened in a newer version of Excel. Learn more: https://go.microsoft.com/fwlink/?linkid=870924
Comment:
    unclear comparison groups</t>
      </text>
    </comment>
    <comment ref="F42" authorId="13" shapeId="0" xr:uid="{5DB6ED23-62EC-F34A-9FD7-337C41530402}">
      <text>
        <t>[Threaded comment]
Your version of Excel allows you to read this threaded comment; however, any edits to it will get removed if the file is opened in a newer version of Excel. Learn more: https://go.microsoft.com/fwlink/?linkid=870924
Comment:
    posthoc analysis</t>
      </text>
    </comment>
    <comment ref="Z43" authorId="14" shapeId="0" xr:uid="{0994B38A-7DD8-AC42-A0A2-D09DD4C41A20}">
      <text>
        <t>[Threaded comment]
Your version of Excel allows you to read this threaded comment; however, any edits to it will get removed if the file is opened in a newer version of Excel. Learn more: https://go.microsoft.com/fwlink/?linkid=870924
Comment:
    not clear CAP but pneumonia + lack of outcomes</t>
      </text>
    </comment>
    <comment ref="AE43" authorId="15" shapeId="0" xr:uid="{D66A4A37-C47C-BA40-9290-B6E1879A3F5A}">
      <text>
        <t>[Threaded comment]
Your version of Excel allows you to read this threaded comment; however, any edits to it will get removed if the file is opened in a newer version of Excel. Learn more: https://go.microsoft.com/fwlink/?linkid=870924
Comment:
    See earlier comments</t>
      </text>
    </comment>
    <comment ref="AD45" authorId="16" shapeId="0" xr:uid="{8209395A-1516-344C-9058-DD3B5D273ACE}">
      <text>
        <t>[Threaded comment]
Your version of Excel allows you to read this threaded comment; however, any edits to it will get removed if the file is opened in a newer version of Excel. Learn more: https://go.microsoft.com/fwlink/?linkid=870924
Comment:
    Could not get</t>
      </text>
    </comment>
    <comment ref="U49" authorId="17" shapeId="0" xr:uid="{4B06C0F9-9860-7144-A82F-083B8C1C0B8C}">
      <text>
        <t>[Threaded comment]
Your version of Excel allows you to read this threaded comment; however, any edits to it will get removed if the file is opened in a newer version of Excel. Learn more: https://go.microsoft.com/fwlink/?linkid=870924
Comment:
    Not found</t>
      </text>
    </comment>
    <comment ref="B52" authorId="18" shapeId="0" xr:uid="{D24CB270-838A-DB4A-904A-4CDE15803A92}">
      <text>
        <t>[Threaded comment]
Your version of Excel allows you to read this threaded comment; however, any edits to it will get removed if the file is opened in a newer version of Excel. Learn more: https://go.microsoft.com/fwlink/?linkid=870924
Comment:
    No number of patients per intervention group (abx group)</t>
      </text>
    </comment>
    <comment ref="AN63" authorId="19" shapeId="0" xr:uid="{A1E73767-0FE2-F14F-9330-C0F24CA3089E}">
      <text>
        <t>[Threaded comment]
Your version of Excel allows you to read this threaded comment; however, any edits to it will get removed if the file is opened in a newer version of Excel. Learn more: https://go.microsoft.com/fwlink/?linkid=870924
Comment:
    Conference abstract:
https://publications.ersnet.org/content/erj/38/suppl55/p2558</t>
      </text>
    </comment>
    <comment ref="AM67" authorId="20" shapeId="0" xr:uid="{ECDE6E46-CB69-5E4B-944E-90D5A8F37274}">
      <text>
        <t>[Threaded comment]
Your version of Excel allows you to read this threaded comment; however, any edits to it will get removed if the file is opened in a newer version of Excel. Learn more: https://go.microsoft.com/fwlink/?linkid=870924
Comment:
    patients with HIV</t>
      </text>
    </comment>
    <comment ref="AU68" authorId="21" shapeId="0" xr:uid="{D2AEEC64-AF66-4E42-925D-095266D12B08}">
      <text>
        <t>[Threaded comment]
Your version of Excel allows you to read this threaded comment; however, any edits to it will get removed if the file is opened in a newer version of Excel. Learn more: https://go.microsoft.com/fwlink/?linkid=870924
Comment:
    Not found</t>
      </text>
    </comment>
    <comment ref="F73" authorId="22" shapeId="0" xr:uid="{B6320BDE-B3F5-A940-B6C0-689042D75D0D}">
      <text>
        <t>[Threaded comment]
Your version of Excel allows you to read this threaded comment; however, any edits to it will get removed if the file is opened in a newer version of Excel. Learn more: https://go.microsoft.com/fwlink/?linkid=870924
Comment:
    Not included as File 2010 includes integrated analysis of FOCUS 1 and FOCUS 2 studies; so information is repeated</t>
      </text>
    </comment>
    <comment ref="AO75" authorId="23" shapeId="0" xr:uid="{0BBB24A9-248D-C549-A859-66C220BCABFC}">
      <text>
        <t>[Threaded comment]
Your version of Excel allows you to read this threaded comment; however, any edits to it will get removed if the file is opened in a newer version of Excel. Learn more: https://go.microsoft.com/fwlink/?linkid=870924
Comment:
    Not found</t>
      </text>
    </comment>
    <comment ref="F80" authorId="24" shapeId="0" xr:uid="{5007A721-1C85-B047-8ABA-913AEF4B0F7E}">
      <text>
        <t>[Threaded comment]
Your version of Excel allows you to read this threaded comment; however, any edits to it will get removed if the file is opened in a newer version of Excel. Learn more: https://go.microsoft.com/fwlink/?linkid=870924
Comment:
    This is pathogen-specific</t>
      </text>
    </comment>
    <comment ref="AS84" authorId="25" shapeId="0" xr:uid="{EBBFBB98-696C-2B4D-840A-AC66A52BB55B}">
      <text>
        <t>[Threaded comment]
Your version of Excel allows you to read this threaded comment; however, any edits to it will get removed if the file is opened in a newer version of Excel. Learn more: https://go.microsoft.com/fwlink/?linkid=870924
Comment:
    not found</t>
      </text>
    </comment>
    <comment ref="U88" authorId="26" shapeId="0" xr:uid="{3482908E-D3F9-4641-9831-04BD1A3DDDD3}">
      <text>
        <t>[Threaded comment]
Your version of Excel allows you to read this threaded comment; however, any edits to it will get removed if the file is opened in a newer version of Excel. Learn more: https://go.microsoft.com/fwlink/?linkid=870924
Comment:
    All respiratory diseases were combined, not CAP-focused</t>
      </text>
    </comment>
    <comment ref="R89" authorId="27" shapeId="0" xr:uid="{E39B2F08-DAF5-EA47-98B1-43F25C1A3EAD}">
      <text>
        <t>[Threaded comment]
Your version of Excel allows you to read this threaded comment; however, any edits to it will get removed if the file is opened in a newer version of Excel. Learn more: https://go.microsoft.com/fwlink/?linkid=870924
Comment:
    Not found</t>
      </text>
    </comment>
    <comment ref="AM99" authorId="28" shapeId="0" xr:uid="{22FE56CC-99D0-694F-B167-40F9224B8519}">
      <text>
        <t>[Threaded comment]
Your version of Excel allows you to read this threaded comment; however, any edits to it will get removed if the file is opened in a newer version of Excel. Learn more: https://go.microsoft.com/fwlink/?linkid=870924
Comment:
    not found
Apparently a poster:
https://channel.ersnet.org/media-61395-the-effect-of-addition-of-macrolide-to-a-beta-lactam-antibiotic-on-treatment-success-in-patients-with-moderately-severe-community-acquired-pneumonia</t>
      </text>
    </comment>
    <comment ref="U104" authorId="29" shapeId="0" xr:uid="{824C8B85-81EE-E046-A944-666A210A91BE}">
      <text>
        <t>[Threaded comment]
Your version of Excel allows you to read this threaded comment; however, any edits to it will get removed if the file is opened in a newer version of Excel. Learn more: https://go.microsoft.com/fwlink/?linkid=870924
Comment:
    Lower respiratory infections, not CAP-focused</t>
      </text>
    </comment>
    <comment ref="F108" authorId="30" shapeId="0" xr:uid="{0229BCA3-D5B8-A541-8AB8-B1CDCAFFBE21}">
      <text>
        <t>[Threaded comment]
Your version of Excel allows you to read this threaded comment; however, any edits to it will get removed if the file is opened in a newer version of Excel. Learn more: https://go.microsoft.com/fwlink/?linkid=870924
Comment:
    Sub-study from the FOCUS study, File 2011. Duplicated data from a subgroup of the population</t>
      </text>
    </comment>
    <comment ref="E109" authorId="31" shapeId="0" xr:uid="{A9A7EC98-3129-0742-885E-D1C206C8040F}">
      <text>
        <t>[Threaded comment]
Your version of Excel allows you to read this threaded comment; however, any edits to it will get removed if the file is opened in a newer version of Excel. Learn more: https://go.microsoft.com/fwlink/?linkid=870924
Comment:
    We could not get the text</t>
      </text>
    </comment>
    <comment ref="U114" authorId="32" shapeId="0" xr:uid="{F88976F7-47E9-CC4A-ACC2-6D0F0B86A054}">
      <text>
        <t>[Threaded comment]
Your version of Excel allows you to read this threaded comment; however, any edits to it will get removed if the file is opened in a newer version of Excel. Learn more: https://go.microsoft.com/fwlink/?linkid=870924
Comment:
    Not found</t>
      </text>
    </comment>
    <comment ref="R115" authorId="33" shapeId="0" xr:uid="{90EE3AF8-3C5E-F34C-AC52-0A2B26805544}">
      <text>
        <t>[Threaded comment]
Your version of Excel allows you to read this threaded comment; however, any edits to it will get removed if the file is opened in a newer version of Excel. Learn more: https://go.microsoft.com/fwlink/?linkid=870924
Comment:
    Not found</t>
      </text>
    </comment>
    <comment ref="Z115" authorId="34" shapeId="0" xr:uid="{D9CAE010-62B0-8946-BF9D-0CF5296936D7}">
      <text>
        <t>[Threaded comment]
Your version of Excel allows you to read this threaded comment; however, any edits to it will get removed if the file is opened in a newer version of Excel. Learn more: https://go.microsoft.com/fwlink/?linkid=870924
Comment:
    See earlier comments to the left</t>
      </text>
    </comment>
    <comment ref="C116" authorId="35" shapeId="0" xr:uid="{1488FBAD-B09C-FD42-9852-FFA1735DBD09}">
      <text>
        <t>[Threaded comment]
Your version of Excel allows you to read this threaded comment; however, any edits to it will get removed if the file is opened in a newer version of Excel. Learn more: https://go.microsoft.com/fwlink/?linkid=870924
Comment:
    one treatment arm combines several antibiotics all together</t>
      </text>
    </comment>
    <comment ref="Z117" authorId="36" shapeId="0" xr:uid="{DBDEDEAC-9DC8-2042-A191-E2FA5E174739}">
      <text>
        <t>[Threaded comment]
Your version of Excel allows you to read this threaded comment; however, any edits to it will get removed if the file is opened in a newer version of Excel. Learn more: https://go.microsoft.com/fwlink/?linkid=870924
Comment:
    not CAP-focused, combination of pneumonias (nosocomial too as patients were transferred)</t>
      </text>
    </comment>
    <comment ref="AE117" authorId="37" shapeId="0" xr:uid="{86F016D0-D4BA-DF4E-86FF-2969988AC5AC}">
      <text>
        <t>[Threaded comment]
Your version of Excel allows you to read this threaded comment; however, any edits to it will get removed if the file is opened in a newer version of Excel. Learn more: https://go.microsoft.com/fwlink/?linkid=870924
Comment:
    See earlier comments</t>
      </text>
    </comment>
    <comment ref="U118" authorId="38" shapeId="0" xr:uid="{30B391C6-45BC-5847-A86B-6397F1025C3E}">
      <text>
        <t>[Threaded comment]
Your version of Excel allows you to read this threaded comment; however, any edits to it will get removed if the file is opened in a newer version of Excel. Learn more: https://go.microsoft.com/fwlink/?linkid=870924
Comment:
    It is for respiratory infections, CAP is mixed. even with hospital-acquired Pneumoniae</t>
      </text>
    </comment>
    <comment ref="AE120" authorId="39" shapeId="0" xr:uid="{0AD8A7F3-2A3C-6544-BA35-43C1D2397D8F}">
      <text>
        <t>[Threaded comment]
Your version of Excel allows you to read this threaded comment; however, any edits to it will get removed if the file is opened in a newer version of Excel. Learn more: https://go.microsoft.com/fwlink/?linkid=870924
Comment:
    lower respiratory tract infections, not CAP-specific</t>
      </text>
    </comment>
    <comment ref="U121" authorId="40" shapeId="0" xr:uid="{9EEE08AB-0898-0641-BE14-8D114B2CD77C}">
      <text>
        <t>[Threaded comment]
Your version of Excel allows you to read this threaded comment; however, any edits to it will get removed if the file is opened in a newer version of Excel. Learn more: https://go.microsoft.com/fwlink/?linkid=870924
Comment:
    IT is for respiratory tract infections, not CAP specific.</t>
      </text>
    </comment>
    <comment ref="R122" authorId="41" shapeId="0" xr:uid="{105188E7-63F2-FF4E-919B-6BDA2B35654C}">
      <text>
        <t>[Threaded comment]
Your version of Excel allows you to read this threaded comment; however, any edits to it will get removed if the file is opened in a newer version of Excel. Learn more: https://go.microsoft.com/fwlink/?linkid=870924
Comment:
    No cure rates reported</t>
      </text>
    </comment>
    <comment ref="AE122" authorId="42" shapeId="0" xr:uid="{DC002B2E-D7D9-FE40-A9FB-5AD6EBCA164A}">
      <text>
        <t>[Threaded comment]
Your version of Excel allows you to read this threaded comment; however, any edits to it will get removed if the file is opened in a newer version of Excel. Learn more: https://go.microsoft.com/fwlink/?linkid=870924
Comment:
    See earlier comments</t>
      </text>
    </comment>
    <comment ref="F124" authorId="43" shapeId="0" xr:uid="{35851739-E082-E24B-8845-0D8944056959}">
      <text>
        <t>[Threaded comment]
Your version of Excel allows you to read this threaded comment; however, any edits to it will get removed if the file is opened in a newer version of Excel. Learn more: https://go.microsoft.com/fwlink/?linkid=870924
Comment:
    Patient had previous treatment of ampicillin/sulbactam</t>
      </text>
    </comment>
    <comment ref="F129" authorId="44" shapeId="0" xr:uid="{3A6BDDF0-A788-BB4B-B71D-28A1122AD0BB}">
      <text>
        <t>[Threaded comment]
Your version of Excel allows you to read this threaded comment; however, any edits to it will get removed if the file is opened in a newer version of Excel. Learn more: https://go.microsoft.com/fwlink/?linkid=870924
Comment:
    poster presentation:
https://link.springer.com/article/10.1186/cc2697</t>
      </text>
    </comment>
    <comment ref="U131" authorId="45" shapeId="0" xr:uid="{EA5FCD54-430D-DF47-8B61-A9E2457816C2}">
      <text>
        <t>[Threaded comment]
Your version of Excel allows you to read this threaded comment; however, any edits to it will get removed if the file is opened in a newer version of Excel. Learn more: https://go.microsoft.com/fwlink/?linkid=870924
Comment:
    Not found</t>
      </text>
    </comment>
    <comment ref="F147" authorId="46" shapeId="0" xr:uid="{92BA9CA5-F285-7A4C-8E9B-FE99785C865E}">
      <text>
        <t>[Threaded comment]
Your version of Excel allows you to read this threaded comment; however, any edits to it will get removed if the file is opened in a newer version of Excel. Learn more: https://go.microsoft.com/fwlink/?linkid=870924
Comment:
    Sub-analysis of the same trial FOCUS, which was previously integrated into one paper</t>
      </text>
    </comment>
    <comment ref="S148" authorId="47" shapeId="0" xr:uid="{0F1ECF8A-5620-044C-B177-A56B46550865}">
      <text>
        <t>[Threaded comment]
Your version of Excel allows you to read this threaded comment; however, any edits to it will get removed if the file is opened in a newer version of Excel. Learn more: https://go.microsoft.com/fwlink/?linkid=870924
Comment:
    Not found</t>
      </text>
    </comment>
    <comment ref="AQ151" authorId="48" shapeId="0" xr:uid="{513D8D4B-5BFA-3B4C-8E4B-D718DECEADD4}">
      <text>
        <t>[Threaded comment]
Your version of Excel allows you to read this threaded comment; however, any edits to it will get removed if the file is opened in a newer version of Excel. Learn more: https://go.microsoft.com/fwlink/?linkid=870924
Comment:
    non-randomized</t>
      </text>
    </comment>
    <comment ref="AI156" authorId="49" shapeId="0" xr:uid="{C0EE5386-3447-2D4B-B2A3-7C5C0C7145E4}">
      <text>
        <t>[Threaded comment]
Your version of Excel allows you to read this threaded comment; however, any edits to it will get removed if the file is opened in a newer version of Excel. Learn more: https://go.microsoft.com/fwlink/?linkid=870924
Comment:
    Not found</t>
      </text>
    </comment>
    <comment ref="AO160" authorId="50" shapeId="0" xr:uid="{373E07A1-073A-924A-ADDA-DFB5AB4AF0A3}">
      <text>
        <t>[Threaded comment]
Your version of Excel allows you to read this threaded comment; however, any edits to it will get removed if the file is opened in a newer version of Excel. Learn more: https://go.microsoft.com/fwlink/?linkid=870924
Comment:
    conference</t>
      </text>
    </comment>
    <comment ref="AO162" authorId="51" shapeId="0" xr:uid="{044B39D0-4B17-3243-BF2B-BFB7E01A5312}">
      <text>
        <t>[Threaded comment]
Your version of Excel allows you to read this threaded comment; however, any edits to it will get removed if the file is opened in a newer version of Excel. Learn more: https://go.microsoft.com/fwlink/?linkid=870924
Comment:
    poster, conference</t>
      </text>
    </comment>
    <comment ref="U165" authorId="52" shapeId="0" xr:uid="{FC23294E-CB9E-CB41-BD50-D4EC1D7BEDA8}">
      <text>
        <t>[Threaded comment]
Your version of Excel allows you to read this threaded comment; however, any edits to it will get removed if the file is opened in a newer version of Excel. Learn more: https://go.microsoft.com/fwlink/?linkid=870924
Comment:
    It is not CAP only, also nosocomial pneumonia</t>
      </text>
    </comment>
    <comment ref="AI167" authorId="53" shapeId="0" xr:uid="{3B559B0E-D2AC-084C-81C1-9FD2754D47FC}">
      <text>
        <t>[Threaded comment]
Your version of Excel allows you to read this threaded comment; however, any edits to it will get removed if the file is opened in a newer version of Excel. Learn more: https://go.microsoft.com/fwlink/?linkid=870924
Comment:
    Not found</t>
      </text>
    </comment>
    <comment ref="F169" authorId="54" shapeId="0" xr:uid="{C76F15AC-7CFE-C344-BEC4-E53183ADA70B}">
      <text>
        <t>[Threaded comment]
Your version of Excel allows you to read this threaded comment; however, any edits to it will get removed if the file is opened in a newer version of Excel. Learn more: https://go.microsoft.com/fwlink/?linkid=870924
Comment:
    No specific antibiotic strategy compared, but many aggregated into short and long duration courses</t>
      </text>
    </comment>
    <comment ref="M173" authorId="55" shapeId="0" xr:uid="{B36186CF-8FFE-2749-BEA9-FBEC7D44DB48}">
      <text>
        <t>[Threaded comment]
Your version of Excel allows you to read this threaded comment; however, any edits to it will get removed if the file is opened in a newer version of Excel. Learn more: https://go.microsoft.com/fwlink/?linkid=870924
Comment:
    Not found, oral presentation:
https://www.nature.com/articles/pr2011240#:~:text=Conclusion%3A%20Home%20based%20treatment%20with,warrents%20inclusion%20in%20WHO%20recommendations.</t>
      </text>
    </comment>
    <comment ref="Z174" authorId="56" shapeId="0" xr:uid="{E6057AFB-D8CB-3C49-861D-48AFADF8F1E1}">
      <text>
        <t>[Threaded comment]
Your version of Excel allows you to read this threaded comment; however, any edits to it will get removed if the file is opened in a newer version of Excel. Learn more: https://go.microsoft.com/fwlink/?linkid=870924
Comment:
    not CAP-focused</t>
      </text>
    </comment>
    <comment ref="U177" authorId="57" shapeId="0" xr:uid="{65266C06-27A4-564D-BFFE-53EE37A701CB}">
      <text>
        <t>[Threaded comment]
Your version of Excel allows you to read this threaded comment; however, any edits to it will get removed if the file is opened in a newer version of Excel. Learn more: https://go.microsoft.com/fwlink/?linkid=870924
Comment:
    not CAP only, not clear RCT structure</t>
      </text>
    </comment>
    <comment ref="F181" authorId="58" shapeId="0" xr:uid="{B83CD47C-8D7E-5040-A5B1-D3E3DBFBEB37}">
      <text>
        <t>[Threaded comment]
Your version of Excel allows you to read this threaded comment; however, any edits to it will get removed if the file is opened in a newer version of Excel. Learn more: https://go.microsoft.com/fwlink/?linkid=870924
Comment:
    combinations of antibiotics, not clear what they used specifically</t>
      </text>
    </comment>
    <comment ref="K181" authorId="59" shapeId="0" xr:uid="{E52D08E5-E452-3F46-B6B6-FB5FFE1AAB3B}">
      <text>
        <t>[Threaded comment]
Your version of Excel allows you to read this threaded comment; however, any edits to it will get removed if the file is opened in a newer version of Excel. Learn more: https://go.microsoft.com/fwlink/?linkid=870924
Comment:
    See comment, column F</t>
      </text>
    </comment>
    <comment ref="T181" authorId="60" shapeId="0" xr:uid="{C768BCFE-F599-E74F-9AAC-B5C71BA5E6C6}">
      <text>
        <t>[Threaded comment]
Your version of Excel allows you to read this threaded comment; however, any edits to it will get removed if the file is opened in a newer version of Excel. Learn more: https://go.microsoft.com/fwlink/?linkid=870924
Comment:
    See comment earlier</t>
      </text>
    </comment>
    <comment ref="AB183" authorId="61" shapeId="0" xr:uid="{AA9D9010-EB28-384E-B257-26EE23DE6C6F}">
      <text>
        <t>[Threaded comment]
Your version of Excel allows you to read this threaded comment; however, any edits to it will get removed if the file is opened in a newer version of Excel. Learn more: https://go.microsoft.com/fwlink/?linkid=870924
Comment:
    comparator is multiple antibiotics, can not extract information</t>
      </text>
    </comment>
    <comment ref="F186" authorId="62" shapeId="0" xr:uid="{CF669075-D53A-E246-9F93-520DA39FA5A5}">
      <text>
        <t>[Threaded comment]
Your version of Excel allows you to read this threaded comment; however, any edits to it will get removed if the file is opened in a newer version of Excel. Learn more: https://go.microsoft.com/fwlink/?linkid=870924
Comment:
    Same data as File 2010 for the integrated FOCUS 1 and FOCUS 2 studies</t>
      </text>
    </comment>
    <comment ref="W196" authorId="63" shapeId="0" xr:uid="{E8D22BD8-8B5B-6849-BDCF-96A9BE144BB9}">
      <text>
        <t>[Threaded comment]
Your version of Excel allows you to read this threaded comment; however, any edits to it will get removed if the file is opened in a newer version of Excel. Learn more: https://go.microsoft.com/fwlink/?linkid=870924
Comment:
    not RCT</t>
      </text>
    </comment>
    <comment ref="B197" authorId="64" shapeId="0" xr:uid="{E6FDF16C-9327-E74A-83C0-4C17EF250A19}">
      <text>
        <t>[Threaded comment]
Your version of Excel allows you to read this threaded comment; however, any edits to it will get removed if the file is opened in a newer version of Excel. Learn more: https://go.microsoft.com/fwlink/?linkid=870924
Comment:
    no comparison between strategies but only one strategy tested</t>
      </text>
    </comment>
    <comment ref="AI200" authorId="65" shapeId="0" xr:uid="{21BDBD94-E6F8-9543-807B-0A952BFC2BF8}">
      <text>
        <t>[Threaded comment]
Your version of Excel allows you to read this threaded comment; however, any edits to it will get removed if the file is opened in a newer version of Excel. Learn more: https://go.microsoft.com/fwlink/?linkid=870924
Comment:
    Not found</t>
      </text>
    </comment>
    <comment ref="AQ201" authorId="66" shapeId="0" xr:uid="{25E1338D-D678-7748-A759-6BBEE0903393}">
      <text>
        <t>[Threaded comment]
Your version of Excel allows you to read this threaded comment; however, any edits to it will get removed if the file is opened in a newer version of Excel. Learn more: https://go.microsoft.com/fwlink/?linkid=870924
Comment:
    non-randomized</t>
      </text>
    </comment>
    <comment ref="W213" authorId="67" shapeId="0" xr:uid="{7872F0C2-9CA8-FB43-AA8D-E9E7E3415384}">
      <text>
        <t>[Threaded comment]
Your version of Excel allows you to read this threaded comment; however, any edits to it will get removed if the file is opened in a newer version of Excel. Learn more: https://go.microsoft.com/fwlink/?linkid=870924
Comment:
    This is a letter</t>
      </text>
    </comment>
    <comment ref="AB213" authorId="68" shapeId="0" xr:uid="{74599E5D-6D67-EC44-99AC-57B1D4224840}">
      <text>
        <t>[Threaded comment]
Your version of Excel allows you to read this threaded comment; however, any edits to it will get removed if the file is opened in a newer version of Excel. Learn more: https://go.microsoft.com/fwlink/?linkid=870924
Comment:
    See earlier comment</t>
      </text>
    </comment>
    <comment ref="Q215" authorId="69" shapeId="0" xr:uid="{AA988933-A270-6349-8804-464E1B676E81}">
      <text>
        <t>[Threaded comment]
Your version of Excel allows you to read this threaded comment; however, any edits to it will get removed if the file is opened in a newer version of Excel. Learn more: https://go.microsoft.com/fwlink/?linkid=870924
Comment:
    Not found</t>
      </text>
    </comment>
    <comment ref="B218" authorId="70" shapeId="0" xr:uid="{ED7D8BF6-06F9-F84C-AC91-9CAC20DE8B18}">
      <text>
        <t>[Threaded comment]
Your version of Excel allows you to read this threaded comment; however, any edits to it will get removed if the file is opened in a newer version of Excel. Learn more: https://go.microsoft.com/fwlink/?linkid=870924
Comment:
    No clear numbers o MITT or ITT, etc, they just present rates</t>
      </text>
    </comment>
    <comment ref="AE227" authorId="71" shapeId="0" xr:uid="{648372DD-D031-7245-BAF5-84324D96DB1D}">
      <text>
        <t>[Threaded comment]
Your version of Excel allows you to read this threaded comment; however, any edits to it will get removed if the file is opened in a newer version of Excel. Learn more: https://go.microsoft.com/fwlink/?linkid=870924
Comment:
    no clinical cure  or any outcomes</t>
      </text>
    </comment>
    <comment ref="AL228" authorId="72" shapeId="0" xr:uid="{7185A262-F677-A742-A5FA-65997A0C9ABD}">
      <text>
        <t>[Threaded comment]
Your version of Excel allows you to read this threaded comment; however, any edits to it will get removed if the file is opened in a newer version of Excel. Learn more: https://go.microsoft.com/fwlink/?linkid=870924
Comment:
    can not access/ no CAP clear/ RCT not clear but randomised</t>
      </text>
    </comment>
    <comment ref="F229" authorId="73" shapeId="0" xr:uid="{3F1B8BEE-31BA-0B4C-BA8B-B4BA9027B0CA}">
      <text>
        <t>[Threaded comment]
Your version of Excel allows you to read this threaded comment; however, any edits to it will get removed if the file is opened in a newer version of Excel. Learn more: https://go.microsoft.com/fwlink/?linkid=870924
Comment:
    No antibiotic mentioned. It only compared durations</t>
      </text>
    </comment>
    <comment ref="AL230" authorId="74" shapeId="0" xr:uid="{24291BBE-462C-764F-886B-55B95CE3C6F8}">
      <text>
        <t>[Threaded comment]
Your version of Excel allows you to read this threaded comment; however, any edits to it will get removed if the file is opened in a newer version of Excel. Learn more: https://go.microsoft.com/fwlink/?linkid=870924
Comment:
    No outcomes 'cure/etc'</t>
      </text>
    </comment>
    <comment ref="U233" authorId="75" shapeId="0" xr:uid="{024D119C-CC31-0F46-9FEA-079D3E4BEA8E}">
      <text>
        <t>[Threaded comment]
Your version of Excel allows you to read this threaded comment; however, any edits to it will get removed if the file is opened in a newer version of Excel. Learn more: https://go.microsoft.com/fwlink/?linkid=870924
Comment:
    Not CAP-specific; bronchopulmonary</t>
      </text>
    </comment>
    <comment ref="U237" authorId="76" shapeId="0" xr:uid="{97448ED8-BC13-DF46-8364-DE1089012809}">
      <text>
        <t>[Threaded comment]
Your version of Excel allows you to read this threaded comment; however, any edits to it will get removed if the file is opened in a newer version of Excel. Learn more: https://go.microsoft.com/fwlink/?linkid=870924
Comment:
    bacterial pneumoniae, but not CAP specifically</t>
      </text>
    </comment>
    <comment ref="AR239" authorId="77" shapeId="0" xr:uid="{F01D1F23-CFCD-F949-AD6F-85C46076AC74}">
      <text>
        <t>[Threaded comment]
Your version of Excel allows you to read this threaded comment; however, any edits to it will get removed if the file is opened in a newer version of Excel. Learn more: https://go.microsoft.com/fwlink/?linkid=870924
Comment:
    Cost-effectiveness analysis using Erard et al data</t>
      </text>
    </comment>
    <comment ref="R243" authorId="78" shapeId="0" xr:uid="{05EA93D8-6EA9-5B43-8529-4C167CAEC479}">
      <text>
        <t>[Threaded comment]
Your version of Excel allows you to read this threaded comment; however, any edits to it will get removed if the file is opened in a newer version of Excel. Learn more: https://go.microsoft.com/fwlink/?linkid=870924
Comment:
    no outcomes reported clearly (treatment failure per treatment arm is missing)</t>
      </text>
    </comment>
    <comment ref="Z243" authorId="79" shapeId="0" xr:uid="{564817EA-E955-5E4F-9A2F-DE9651724D10}">
      <text>
        <t>[Threaded comment]
Your version of Excel allows you to read this threaded comment; however, any edits to it will get removed if the file is opened in a newer version of Excel. Learn more: https://go.microsoft.com/fwlink/?linkid=870924
Comment:
    see earlier comments to the left</t>
      </text>
    </comment>
    <comment ref="AE243" authorId="80" shapeId="0" xr:uid="{2957C76D-A61A-094B-AC23-F856A5CEB144}">
      <text>
        <t>[Threaded comment]
Your version of Excel allows you to read this threaded comment; however, any edits to it will get removed if the file is opened in a newer version of Excel. Learn more: https://go.microsoft.com/fwlink/?linkid=870924
Comment:
    See earlier comment</t>
      </text>
    </comment>
  </commentList>
</comments>
</file>

<file path=xl/sharedStrings.xml><?xml version="1.0" encoding="utf-8"?>
<sst xmlns="http://schemas.openxmlformats.org/spreadsheetml/2006/main" count="8578" uniqueCount="1485">
  <si>
    <t>Year</t>
  </si>
  <si>
    <t>Title</t>
  </si>
  <si>
    <t>DOI</t>
  </si>
  <si>
    <t>Country</t>
  </si>
  <si>
    <t>Oldach</t>
  </si>
  <si>
    <t>First author last name</t>
  </si>
  <si>
    <t>Randomized, double-blind, multicenter phase 2 study comparing the efficacy and safety of oral solithromycin (CEM-101) to those of oral levofloxacin in the treatment of patients with community-acquired bacterial pneumonia</t>
  </si>
  <si>
    <t>https://doi.org/10.1128/aac.00197-13</t>
  </si>
  <si>
    <t>RCT</t>
  </si>
  <si>
    <t>USA, Canada</t>
  </si>
  <si>
    <t>Inpatient or outapatient</t>
  </si>
  <si>
    <t>Outpatient</t>
  </si>
  <si>
    <t xml:space="preserve">Solithromycin </t>
  </si>
  <si>
    <t>Fluoroquinolone</t>
  </si>
  <si>
    <t>Watch</t>
  </si>
  <si>
    <t>ID_study</t>
  </si>
  <si>
    <t>Macrolide</t>
  </si>
  <si>
    <t>Siegel</t>
  </si>
  <si>
    <t>Tellier</t>
  </si>
  <si>
    <t>El Moussaoui</t>
  </si>
  <si>
    <t>File</t>
  </si>
  <si>
    <t>Cefuroxime</t>
  </si>
  <si>
    <t>Telithromycin</t>
  </si>
  <si>
    <t>Amoxicillin</t>
  </si>
  <si>
    <t>Gemifloxacin</t>
  </si>
  <si>
    <t>Inpatient</t>
  </si>
  <si>
    <t>Comparison of 7 versus 10 days
of antibiotic therapy for hospitalized patients with uncomplicated
community-­ acquired pneumonia: a prospective, randomized, double-blind
study.</t>
  </si>
  <si>
    <t>Gemifloxacin once daily
for 5 days versus 7 days for the treatment of community-­ acquired
pneumonia: a randomized, multicentre, double-­ blind study</t>
  </si>
  <si>
    <t>Effectiveness of discontinuing antibiotic treatment after three days
versus eight days in mild to moderate-­ severe community acquired
pneumonia: randomised, double blind study</t>
  </si>
  <si>
    <t>Zhao</t>
  </si>
  <si>
    <t>IV or oral</t>
  </si>
  <si>
    <t>Oral</t>
  </si>
  <si>
    <t>IV</t>
  </si>
  <si>
    <t>Levofloxacin</t>
  </si>
  <si>
    <t>500mg</t>
  </si>
  <si>
    <t>USA</t>
  </si>
  <si>
    <t>China</t>
  </si>
  <si>
    <t>Alexander</t>
  </si>
  <si>
    <t>Global</t>
  </si>
  <si>
    <t>Lefamulin</t>
  </si>
  <si>
    <t>Moxifloxacin</t>
  </si>
  <si>
    <t>400mg</t>
  </si>
  <si>
    <t>Oral Lefamulin vs Moxifloxacin for Early Clinical Response Among Adults With Community-Acquired Bacterial Pneumonia: The LEAP 2 Randomized Clinical Trial</t>
  </si>
  <si>
    <t>https://doi.org/10.1001/jama.2019.15468</t>
  </si>
  <si>
    <t>https://doi.org/10.1016/j.diagmicrobio.2013.11.008</t>
  </si>
  <si>
    <t>A randomized controlled clinical trial of levofloxacin 750 mg versus 500 mg intravenous infusion in the treatment of community-acquired pneumonia</t>
  </si>
  <si>
    <t>High-dose, short-course levofloxacin for community-acquired pneumonia: a new treatment paradigm</t>
  </si>
  <si>
    <t>https://doi.org/10.1086/377539</t>
  </si>
  <si>
    <t>Paris</t>
  </si>
  <si>
    <t>Italy</t>
  </si>
  <si>
    <t>Azithromycin</t>
  </si>
  <si>
    <t>1000mg</t>
  </si>
  <si>
    <t>D'Ignazio</t>
  </si>
  <si>
    <t>Drehobl</t>
  </si>
  <si>
    <t>Clarithromycin</t>
  </si>
  <si>
    <t>250mg</t>
  </si>
  <si>
    <t>320mg</t>
  </si>
  <si>
    <t>Dunbar</t>
  </si>
  <si>
    <t>O’Doherty</t>
  </si>
  <si>
    <t>Schönwald</t>
  </si>
  <si>
    <t>Croatia</t>
  </si>
  <si>
    <t>Roxithromycin</t>
  </si>
  <si>
    <t>Bohte</t>
  </si>
  <si>
    <t>Rizzato</t>
  </si>
  <si>
    <t>Netherlands</t>
  </si>
  <si>
    <t>Kinasewitz</t>
  </si>
  <si>
    <t>France</t>
  </si>
  <si>
    <t>Cefaclor</t>
  </si>
  <si>
    <t>Oral/IV</t>
  </si>
  <si>
    <t>Kuzman</t>
  </si>
  <si>
    <t>4-7</t>
  </si>
  <si>
    <t>8-11</t>
  </si>
  <si>
    <t>Clinical efficacy and safety of a short
regimen of azithromycin sequential therapy vs standard cefuroxime sequential therapy in the
treatment of community-acquired pneumonia: an international, randomized, open-label study</t>
  </si>
  <si>
    <t>https://doi.org/10.1179/joc.2005.17.6.636</t>
  </si>
  <si>
    <t>Leophonte</t>
  </si>
  <si>
    <t>Children</t>
  </si>
  <si>
    <t>India</t>
  </si>
  <si>
    <t>7-14</t>
  </si>
  <si>
    <t>Inf_syndrome</t>
  </si>
  <si>
    <t>CAP</t>
  </si>
  <si>
    <t>Anderson</t>
  </si>
  <si>
    <t>https://doi.org/10.1093/jac/27.suppl_A.117</t>
  </si>
  <si>
    <t>Chien</t>
  </si>
  <si>
    <t>Treatment of
community-acquired pneumonia: a multicenter, double-
blind, randomized study comparing clarithromycin with
erythromycin</t>
  </si>
  <si>
    <t>Cethromycin versus clarithromycin for community-acquired pneumonia: comparative efficacy and safety outcomes from two double-blinded, randomized, parallel-group, multicenter, multinational noninferiority studies</t>
  </si>
  <si>
    <t>English</t>
  </si>
  <si>
    <t>https://doi.org/10.1128/aac.05596-11</t>
  </si>
  <si>
    <t>Cethromycin</t>
  </si>
  <si>
    <t>300mg</t>
  </si>
  <si>
    <t>Kohno</t>
  </si>
  <si>
    <t>Van Rensburg</t>
  </si>
  <si>
    <t>Efficacy and Safety of Nemonoxacin versus Levofloxacin for Community-Acquired Pneumonia</t>
  </si>
  <si>
    <t>Nemonoxacin</t>
  </si>
  <si>
    <t>Short-course antimicrobial therapy for pediatric
community-acquired pneumonia: the SAFER randomized clinical trial</t>
  </si>
  <si>
    <t>Pernica</t>
  </si>
  <si>
    <t>Williams</t>
  </si>
  <si>
    <t>Greenberg</t>
  </si>
  <si>
    <t>Short-course Antibiotic Treatment for Community-acquired Alveolar Pneumonia in Ambulatory Children
A Double-blind, Randomized, Placebo-controlled Trial</t>
  </si>
  <si>
    <t>https://journals.lww.com/pidj/abstract/2014/02000/short_course_antibiotic_treatment_for.7.aspx</t>
  </si>
  <si>
    <t>80 mg/kg/d</t>
  </si>
  <si>
    <t>Harris</t>
  </si>
  <si>
    <t>Ronchetti</t>
  </si>
  <si>
    <t>Ginsburg</t>
  </si>
  <si>
    <t>Roord</t>
  </si>
  <si>
    <t>Sadruddin</t>
  </si>
  <si>
    <t>Safety
and efficacy of azithromycin in the
treatment of community-acquired pneu-
monia in children.</t>
  </si>
  <si>
    <t xml:space="preserve">The role of azithromycin in treating chil-
dren with community-acquired pneumo-
nia. </t>
  </si>
  <si>
    <t>Prospective open randomized study
comparing efficacies and safeties of a
3-day course of azithromycin and a
10-day course of erythromycin in
children with community-acquired
acute lower respiratory tract infections.</t>
  </si>
  <si>
    <t>Comparison of 3 days amoxicillin ver-
sus 5 days co-trimoxazole for treatment
of fast-breathing pneumonia by commu-
nity health workers in children aged
2-59 months in Pakistan</t>
  </si>
  <si>
    <t>Pakistan</t>
  </si>
  <si>
    <t>75-100 mg/kg/d</t>
  </si>
  <si>
    <t>Canada</t>
  </si>
  <si>
    <t>Israel</t>
  </si>
  <si>
    <t>45 mg/kg/d</t>
  </si>
  <si>
    <t>Barrera</t>
  </si>
  <si>
    <t>Solithromycin</t>
  </si>
  <si>
    <t>Radiologically confirmed</t>
  </si>
  <si>
    <t>Bonvehi</t>
  </si>
  <si>
    <t>Canada, Chile,
India, Lithuania,
Mexico, Peru,
Russia, US</t>
  </si>
  <si>
    <t xml:space="preserve">Single-Dose Azithromy-
cin Microspheres vs Clarithromycin Extended Release for the Treatment
of Mild-to-Moderate Community-Acquired Pneumonia in Adults. </t>
  </si>
  <si>
    <t>Com-
parison of Clarithromycin and Amoxicillin/Clavulanic Acid for
Community-Acquired Pneumonia in???An Era of Drug-Resistant
Streptococcus pneumoniae:</t>
  </si>
  <si>
    <t>Efficacy and Safety of Oral
Solithromycin Versus Oral Moxifloxacin for Treatment of Community-
Acquired Bacterial Pneumonia: A Global, Double-Blind, Multicentre,
Randomised, Active-Controlled, Non-inferiority Trial (SOLITAIRE-ORAL)</t>
  </si>
  <si>
    <t>Fogarty</t>
  </si>
  <si>
    <t>Abnormal CXR with 2 signs/symptoms</t>
  </si>
  <si>
    <t>Cefditoren</t>
  </si>
  <si>
    <t>Gotfried</t>
  </si>
  <si>
    <t>Controlled, Double-Blind,
Multicenter Study Comparing Clarithromycin Extended-Release Tablets
and Levofloxacin Tablets in the Treatment of Community-Acquired Pneu-
monia. Clin Ther.</t>
  </si>
  <si>
    <t>Hagberg</t>
  </si>
  <si>
    <t>Hoeffken</t>
  </si>
  <si>
    <t>Llor</t>
  </si>
  <si>
    <t>Spain</t>
  </si>
  <si>
    <t>Penicillin</t>
  </si>
  <si>
    <t>Petripretz</t>
  </si>
  <si>
    <t>Portier</t>
  </si>
  <si>
    <t>Amoxiclav +Roxithromycin</t>
  </si>
  <si>
    <t>1000/125 mg+150mg</t>
  </si>
  <si>
    <t>Ramirez</t>
  </si>
  <si>
    <t>Sparfloxacin</t>
  </si>
  <si>
    <t>Rocha</t>
  </si>
  <si>
    <t>Brazil, Colombia</t>
  </si>
  <si>
    <t>Van Zyl</t>
  </si>
  <si>
    <t>USA, South Africa</t>
  </si>
  <si>
    <t>Cefpodoxime</t>
  </si>
  <si>
    <t>Yuan</t>
  </si>
  <si>
    <t>China, Taiwan</t>
  </si>
  <si>
    <t>Short- vs standard-course outpatient antibiotic therapy for community-acquired pneumonia in children: the SCOUT-CAP randomized clinical trial</t>
  </si>
  <si>
    <t>Cefditoren Pivoxil Versus Cef-podoxime Proxetil for Community-Acquired Pneumonia: Results of a Multicenter, Prospective, Randomized, Double-Blind Study</t>
  </si>
  <si>
    <t>Anzueto</t>
  </si>
  <si>
    <t>Bargallo</t>
  </si>
  <si>
    <t>Tigecycline</t>
  </si>
  <si>
    <t>100mg</t>
  </si>
  <si>
    <t>Ceftazidime</t>
  </si>
  <si>
    <t>Ceftriaxone</t>
  </si>
  <si>
    <t>Dal Negro</t>
  </si>
  <si>
    <t>Feldman</t>
  </si>
  <si>
    <t xml:space="preserve">Sitafloxacin </t>
  </si>
  <si>
    <t>Imipenem+cilastatina</t>
  </si>
  <si>
    <t>Frank</t>
  </si>
  <si>
    <t>Ceftriaxone+azithromycin</t>
  </si>
  <si>
    <t>Lee</t>
  </si>
  <si>
    <t>South Korea</t>
  </si>
  <si>
    <t>Lin</t>
  </si>
  <si>
    <t>Taiwan</t>
  </si>
  <si>
    <t>Lopez-Vejar</t>
  </si>
  <si>
    <t>Mexico</t>
  </si>
  <si>
    <t>Severity</t>
  </si>
  <si>
    <t>Mokkaberi</t>
  </si>
  <si>
    <t>Severe</t>
  </si>
  <si>
    <t>Ortiz-Ruiz</t>
  </si>
  <si>
    <t>Ertapenem</t>
  </si>
  <si>
    <t>Siquier</t>
  </si>
  <si>
    <t>Efficacy and safety of twice-daily pharmacokinetically enhanced amoxicillin/clavulanate (2000/125 mg) in the treatment of adults with community-acquired pneumonia in a country with a high prevalence of penicillin-resistant Streptococcus pneumoniae</t>
  </si>
  <si>
    <t>Sun</t>
  </si>
  <si>
    <t xml:space="preserve">Levofloxacin+metronidazol </t>
  </si>
  <si>
    <t>Tanaseanu</t>
  </si>
  <si>
    <t>Efficacy and safety of tigecycline versus
levofloxacin for community-­ acquired pneumonia</t>
  </si>
  <si>
    <t>Vetter</t>
  </si>
  <si>
    <t>Yanagihara</t>
  </si>
  <si>
    <t>Ampicillin+Sulbactam</t>
  </si>
  <si>
    <t>Zhong</t>
  </si>
  <si>
    <t>Ceftaroline fosamil</t>
  </si>
  <si>
    <t>China; India; South
Korea; Taiwan; Vietnam</t>
  </si>
  <si>
    <t>Xu</t>
  </si>
  <si>
    <t>Cefoperazone+azitromycin</t>
  </si>
  <si>
    <t>2000mg+500mg</t>
  </si>
  <si>
    <t>Clinical efficacy and safety of moxifloxacin versus levofloxacin plus metronidazole for community-acquired pneumonia with aspiration factors</t>
  </si>
  <si>
    <t>https://journals.lww.com/cmj/fulltext/2014/04050/clinical_efficacy_and_safety_of_moxifloxacin.1.aspx</t>
  </si>
  <si>
    <t>Welte</t>
  </si>
  <si>
    <t>Garin</t>
  </si>
  <si>
    <t>Switzerland</t>
  </si>
  <si>
    <t>Cefuroxime+clarithromycin</t>
  </si>
  <si>
    <t>Torres</t>
  </si>
  <si>
    <t>Europe, Israel,
South Africa</t>
  </si>
  <si>
    <t>Bari</t>
  </si>
  <si>
    <t>Co-trimoxazole</t>
  </si>
  <si>
    <t>Soofi</t>
  </si>
  <si>
    <t>Community case
management of severe pneumonia with oral amoxicillin in children aged 2–59
months in Haripur district, Pakistan: a cluster randomised trial.</t>
  </si>
  <si>
    <t>Effectiveness
of community case management of severe pneumonia with oral amoxicillin in
children aged 2–59 months in Matiari district, rural Pakistan: a cluster-
randomised controlled trial.</t>
  </si>
  <si>
    <t>Erythromycin</t>
  </si>
  <si>
    <t>UK</t>
  </si>
  <si>
    <t>Ampicillin+amoxicillin</t>
  </si>
  <si>
    <t>Adults</t>
  </si>
  <si>
    <t>Gatifloxacin</t>
  </si>
  <si>
    <t>Lode</t>
  </si>
  <si>
    <t>Carbon</t>
  </si>
  <si>
    <t>Aubier</t>
  </si>
  <si>
    <t>Treatment of community-acquired pneumonia: a randomized comparison of sparfloxacin, amoxycillin-clavulanic acid and erythromycin</t>
  </si>
  <si>
    <t>Temafloxacin</t>
  </si>
  <si>
    <t>Efficacy and safety of temafloxacin versus those of amoxicillin in hospitalized adults with community-acquired pneumonia</t>
  </si>
  <si>
    <t>Tremolieres</t>
  </si>
  <si>
    <t>Trovafloxacin versus high-dose amoxicillin (1 g three times daily) in the treatment of community-acquired bacterial pneumonia.</t>
  </si>
  <si>
    <t>Trovafloxacin</t>
  </si>
  <si>
    <t>Safety and efficacy of intravenous tigecycline in treatment of community-acquired pneumonia: results from a double-blind randomized phase 3 comparison study with levofloxacin</t>
  </si>
  <si>
    <t>Finch</t>
  </si>
  <si>
    <t>Randomized controlled trial of sequential intravenous (i.v.) and oral moxifloxacin compared with sequential i.v. and oral co-amoxiclav with or without clarithromycin in patients with community-acquired pneumonia requiring initial parenteral treatment</t>
  </si>
  <si>
    <t>Moxifloxacin monotherapy is effective in hospitalized patients with community-acquired pneumonia: the MOTIV study—a randomized clinical trial</t>
  </si>
  <si>
    <t>Comparison of Cefditoren Pivoxil and Amoxicillin/ Clavulanate in the Treat-
ment of Community-Acquired Pneumonia: A Multicenter, Prospective,
Randomized, Investigator-Blinded, Parallel-Group Study.</t>
  </si>
  <si>
    <t>Jardim</t>
  </si>
  <si>
    <t>Effectiveness of oral moxifloxacin in standard
first-line therapy in community-acquired pneumonia.</t>
  </si>
  <si>
    <t>Ceftriaxone +- erythromycin</t>
  </si>
  <si>
    <t>2000mg +-1000mg</t>
  </si>
  <si>
    <t>moderate/severe</t>
  </si>
  <si>
    <t>The efficacy and safety of two oral moxifloxacin
regimens (200 mg or 400 mg once-daily 610 days) compared
to oral clarithromycin (500 mg twice-daily 610 days) in the
treatment of community-acquired pneumonia.</t>
  </si>
  <si>
    <t>Treatment with Sequential
Intravenous or Oral Moxifloxacin Was Associated with
Faster Clinical Improvement than Was Standard Therapy for
Hospitalized Patients with Community-Acquired Pneumonia
Who Received Initial Parenteral Therapy</t>
  </si>
  <si>
    <t>Norrby</t>
  </si>
  <si>
    <t>Erard</t>
  </si>
  <si>
    <t>Full-course oral levofloxacin for treatment of
hospitalized patients with community-acquired pneumonia</t>
  </si>
  <si>
    <t>Amoxicillin+ofloxacin</t>
  </si>
  <si>
    <t>Moxifloxacin monotherapy compared to amoxicillin-clavulanate plus roxithromycin for nonsevere community-acquired pneumonia in adults with risk factors.</t>
  </si>
  <si>
    <t xml:space="preserve">Comparative efficacy of sparfloxacin in comparison with amoxycillin plus ofloxacin in the treatment of community-acquired pneumonia. </t>
  </si>
  <si>
    <t>Vergis</t>
  </si>
  <si>
    <t>Cefuroxime+erythromycin</t>
  </si>
  <si>
    <t>A comparative safety and efficacy study of clarithromycin and erythromycin stearate in community-acquired pneumonia.</t>
  </si>
  <si>
    <t>Moola</t>
  </si>
  <si>
    <t>A multicenter study of grepafloxacin and clarithromycin in the treatment of patients with community-acquired pneumonia</t>
  </si>
  <si>
    <t>Grepafloxacin</t>
  </si>
  <si>
    <t>Penicillin G/ofloxacin versus erythromycin/amoxicillin-clavulanate in the treatment of severe community-acquired pneumonia</t>
  </si>
  <si>
    <t>Gaillat</t>
  </si>
  <si>
    <t>Penicillin + ofloxacin</t>
  </si>
  <si>
    <t>https://link.springer.com/content/pdf/10.1007/BF01973989.pdf</t>
  </si>
  <si>
    <t>400mg/d</t>
  </si>
  <si>
    <t>Sokol</t>
  </si>
  <si>
    <t>A prospective, double-blind, multicenter study comparing clarithromycin extended-release with trovafloxacin in patients with community-acquired pneumonia</t>
  </si>
  <si>
    <t>https://www.clinicaltherapeutics.com/article/S0149-2918(02)85136-0/abstract</t>
  </si>
  <si>
    <t>Awasthi</t>
  </si>
  <si>
    <t>Effectiveness of 3-Day Amoxycillin vs. 5-Day Co-trimoxazole in the Treatment of Non-severe Pneumonia in Children Aged 2–59 Months of Age: A Multi-centric Open Labeled Trial</t>
  </si>
  <si>
    <t>https://academic.oup.com/tropej/article-abstract/54/6/382/1679287?redirectedFrom=fulltext&amp;login=false</t>
  </si>
  <si>
    <t>Straus</t>
  </si>
  <si>
    <t>https://pubmed.ncbi.nlm.nih.gov/9690406/</t>
  </si>
  <si>
    <t>Antimicrobial resistance and clinical effectiveness of co-trimoxazole versus amoxycillin for pneumonia among children in Pakistan: randomised controlled trial. Pakistan Co-trimoxazole Study Group</t>
  </si>
  <si>
    <t>Clinical efficacy of 3 days versus 5 days of oral amoxicillin for treatment of childhood pneumonia: a
multicentre double-blind tria</t>
  </si>
  <si>
    <t>Clinical ef cacy of co-trimoxazole versus amoxicillin twice daily for
treatment of pneumonia: a randomised controlled clinical trial in Pakistan.</t>
  </si>
  <si>
    <t>CATCHUP</t>
  </si>
  <si>
    <t>Duke</t>
  </si>
  <si>
    <t>Papu New Guinea</t>
  </si>
  <si>
    <t>Chloramphenicol</t>
  </si>
  <si>
    <t>Benzylpenicillin</t>
  </si>
  <si>
    <t>Asghar</t>
  </si>
  <si>
    <t>Bangladesh,
Ecuador, India,
Mexico,
Pakistan,
Yemen, and
Zambia</t>
  </si>
  <si>
    <t>Ampicillin+gentamicin</t>
  </si>
  <si>
    <t>75mg/kg/d</t>
  </si>
  <si>
    <t>Bansal</t>
  </si>
  <si>
    <t>Ribeiro</t>
  </si>
  <si>
    <t>Brazil</t>
  </si>
  <si>
    <t>Oxacillin+ceftriaxone</t>
  </si>
  <si>
    <t>https://pubmed.ncbi.nlm.nih.gov/21829969/</t>
  </si>
  <si>
    <t>Chloramphenicol versus ampicillin plus gentamicin for community acquired very severe pneumonia among children aged 2–59 months in low resource settings: multicentre randomised controlled trial (SPEAR study)</t>
  </si>
  <si>
    <t>Turkey</t>
  </si>
  <si>
    <t>Addo-Yobo</t>
  </si>
  <si>
    <t>Hazir</t>
  </si>
  <si>
    <t>Gambia</t>
  </si>
  <si>
    <t>Mulholland</t>
  </si>
  <si>
    <t>Ceftibuten</t>
  </si>
  <si>
    <t>Slovakia</t>
  </si>
  <si>
    <t>Nogeova</t>
  </si>
  <si>
    <t>South Africa</t>
  </si>
  <si>
    <t>Bradley</t>
  </si>
  <si>
    <t>Argentina,Brazil, Chile,Costa Rica,Mexico, Panama, and United States</t>
  </si>
  <si>
    <t>Ampicillin</t>
  </si>
  <si>
    <t>Deivanayaga</t>
  </si>
  <si>
    <t>Jibril</t>
  </si>
  <si>
    <t>Nigeria</t>
  </si>
  <si>
    <t>Placebo</t>
  </si>
  <si>
    <t>15 mg/kg</t>
  </si>
  <si>
    <t>Ferwerda</t>
  </si>
  <si>
    <t>Non-severe</t>
  </si>
  <si>
    <t>Oral amoxicillin versus injectable penicillin for severe pneumonia in children aged 3 to 59 months: a randomised multicentre equivalency study.</t>
  </si>
  <si>
    <t xml:space="preserve">Ambulatory short-course high-dose oral amoxicillin for treatment of severe pneumonia in children: a randomised equivalency trial. </t>
  </si>
  <si>
    <t xml:space="preserve"> A randomized trial of chloramphenicol vs trimethoprim sulfamethoxazole for the treatment of malnourished children with community acquired pneumonia.</t>
  </si>
  <si>
    <t>Ceftibuten vs. cefuroxime-axetil in initial therapy for community-acquired bronchopneumonia: randomized multicentric study in 140 children</t>
  </si>
  <si>
    <t>Comparative study of levo oxacin in the treatment of children with community-acquired pneumonia</t>
  </si>
  <si>
    <t>Effectiveness of ampicillin and combination of penicillin and chloramphenicol in the treatment of pneumonias:randomized controlled trial.</t>
  </si>
  <si>
    <t>Three day versus ve day treatment with amoxicillin for non-severe pneumonia in young children: a multicentre randomised controlled trial.</t>
  </si>
  <si>
    <t>An open, comparative evaluation of amoxicillin
and amoxicillin plus clavulanic acid (‘Augmentin’) in the treatment of bacterial pneumonia in children.</t>
  </si>
  <si>
    <t>Efficacy, safety and tolerability of 3 day azithromycin versus 10 day co-amoxiclav in the treatment of children with acute lower respiratory tract infections.</t>
  </si>
  <si>
    <t>Higuera</t>
  </si>
  <si>
    <t>Comparison of oral cefuroxime axetil and oral amoxycillin/clavulanate in the treatment of community-acquired pneumonia</t>
  </si>
  <si>
    <t>Genne</t>
  </si>
  <si>
    <t>Clarithromycin versus amoxicillin-clavulanic acid in the treatment of community-acquired pneumonia</t>
  </si>
  <si>
    <t xml:space="preserve"> Efficacy and safety of pristinamycin vs amoxicillin in community acquired pneumonia in adults</t>
  </si>
  <si>
    <t>Pristinamycin</t>
  </si>
  <si>
    <t>https://www.sciencedirect.com/science/article/abs/pii/S0369811405001161?via%3Dihub</t>
  </si>
  <si>
    <t>Ahmed</t>
  </si>
  <si>
    <t>Community case management of fast-breathing pneumonia with 3 days oral amoxicillin vs 5 days cotrimoxazole in children 2-59 months of age in rural Pakistan: A cluster randomized trial</t>
  </si>
  <si>
    <t>Jehan</t>
  </si>
  <si>
    <t>Randomized Trial of Amoxicillin for Pneumonia in Pakistan</t>
  </si>
  <si>
    <t>CAP definition</t>
  </si>
  <si>
    <t>Setting type</t>
  </si>
  <si>
    <t>Primary care</t>
  </si>
  <si>
    <t>Diagnosis of pneumonia with tachypnea, defined according to the WHO classification as a respiratory rate of ≥50 breaths per minute in children 2-11 months of age or ≥40 breaths per minute in children 12-59 months of age. Based on agreement between a trained health worker and a physician.</t>
  </si>
  <si>
    <t>Does 3-day course of oral amoxycillin benefit children of non-severe pneumonia with wheeze: a multicentric randomized controlled trial</t>
  </si>
  <si>
    <t xml:space="preserve">Verbal screening for complaints of cough, rapid respiration, or difficulties in breathing.
Those who were verbal screening positive and had no exclusion criteria (e.g. signs of WHO defined severe pneumonia) were examined for study entry criteria of wheeze and WHO defined fast breathing </t>
  </si>
  <si>
    <t>Non-severe fast-breathing pneumonia: Cough &lt;14 days or difficulty breathing AND fast-breathing for age (screened in outpatient departments)</t>
  </si>
  <si>
    <t>Hospital</t>
  </si>
  <si>
    <t>WHO defined nonsevere pneumonia</t>
  </si>
  <si>
    <t>WHO defined non-severe pneumonia of cough and respiratory rate above the age specific cut-off with or without wheeze</t>
  </si>
  <si>
    <t>20mg/kg</t>
  </si>
  <si>
    <t>3-5days</t>
  </si>
  <si>
    <t>WHO defined fast-breathing pneumonia. Inclusion criteria: cough and/or difficulty breathing, with a. respiratory rate of ≥50 breaths</t>
  </si>
  <si>
    <t>10.1093/cid/ciy918</t>
  </si>
  <si>
    <t>15 mg/kg tid</t>
  </si>
  <si>
    <t>3-5 days</t>
  </si>
  <si>
    <t>Agweyu</t>
  </si>
  <si>
    <t>Kenya</t>
  </si>
  <si>
    <t>WHO-defined severe pneumonia in children</t>
  </si>
  <si>
    <t>Non-severe pneumonia: cough or difficult breathing with fast breathing (respiratory rate ≥50 breaths per minute for children aged 2-11 months; ≥40 breaths per minute for children aged 12-59 months (outpatient facilities)</t>
  </si>
  <si>
    <t>Rajesh</t>
  </si>
  <si>
    <t>Clinical effectiveness of co-trimoxazole vs. Amoxicillin in the treatment of non-severe pneumonia in children in India: a randomized controlled trial</t>
  </si>
  <si>
    <t>Non-severe pneumonia as defined by WHO</t>
  </si>
  <si>
    <t>Diagnosis was confirmed by chest X-ray, the presence of two of five clinical symptoms, and the presence of at least two of five physical signs</t>
  </si>
  <si>
    <t>France, South Africa, Switzerland</t>
  </si>
  <si>
    <t>Pneumonia defined by following criteria: fever (&gt;38°C), a new alveolar infiltrate evident on a chest radiograph, and at least one sign or symptom (cough, dyspnea, chills, and purulent sputum production)</t>
  </si>
  <si>
    <t>Once-daily sparfloxacin versus high-dosage amoxicillin in the treatment of community-acquired, suspected pneumococcal pneumonia in adults. Sparfloxacin European Study Group</t>
  </si>
  <si>
    <t>All</t>
  </si>
  <si>
    <t>Efficacy and tolerability of once-daily telithromycin compared with high-dose amoxicillin for treatment of community-acquired pneumonia</t>
  </si>
  <si>
    <t>Confirmed diagnosis of acute CAP based on chest X-ray finding indicative of bacterial pneumonia combined with onset of two or more signs and symptoms</t>
  </si>
  <si>
    <t>800mg/d</t>
  </si>
  <si>
    <t>France, Poland, South Africa</t>
  </si>
  <si>
    <t xml:space="preserve">Clinical diagnosis of community-acquired bacterial pneumonia characterized by fever and at least two specified signs and symptoms. Study eligibility required chest radiograph </t>
  </si>
  <si>
    <t>Efficacy of high doses of penicillin versus amoxicillin in the treatment of uncomplicated community acquired pneumonia in adults. A non-inferiority controlled clinical trial</t>
  </si>
  <si>
    <t>Symptoms of lower respiratory tract infection and radiological confirmation of CAP</t>
  </si>
  <si>
    <t>Oral moxifloxacin vs high-dosage amoxicillin in the treatment of mild-to-moderate, community-acquired, suspected pneumococcal pneumonia in adults</t>
  </si>
  <si>
    <t>Patients presenting with fever, radiological evidence of an infiltrate consistent with pneumonia, and at least one specified symptom</t>
  </si>
  <si>
    <t>1000mg tid</t>
  </si>
  <si>
    <t>Roson</t>
  </si>
  <si>
    <t>Usefulness of betalactam therapy for community-acquired pneumonia in the era of drug-resistant Streptococcus pneumoniae: a randomized study of amoxicillin-clavulanate and ceftriaxone</t>
  </si>
  <si>
    <t>CAP defined as acute respiratory illness associated with specified symptoms including the presence of a new infiltrate on a chest radiograph</t>
  </si>
  <si>
    <t>Europe, South Africa, Costa Rica</t>
  </si>
  <si>
    <t>France, Tunisia</t>
  </si>
  <si>
    <t xml:space="preserve">Criteria required for inclusion: medical history and clinical and radiological findings consistent with CA bronchopneumonia or lobar pneumonia (including new infiltrate on chest radiograph) </t>
  </si>
  <si>
    <t>Confirmed diagnosis of CAP with a chest x-ray</t>
  </si>
  <si>
    <t>7-10 days</t>
  </si>
  <si>
    <t>Pneumonia defined as a combination of cough, fever (&gt;37.8°C), and radiographically demonstrated pulmonary infiltrate with or without dyspnea or pleuritic chest pain</t>
  </si>
  <si>
    <t>Clinical signs and symptoms of mild-to-moderate pneumonia; chest x-ray results confirming clinical diagnosis of pneumonia</t>
  </si>
  <si>
    <t>7-14days</t>
  </si>
  <si>
    <t>Newly occurring cough and/or sputum production and/or dyspnea associated with a new infiltrate seen on chest radiograph take on admission and with a leucocyte count of specific threshold</t>
  </si>
  <si>
    <t>1.2g IV 4x daily for 3-5 days followed by 625mg orally 3x daily for a total of at ≥10 days</t>
  </si>
  <si>
    <t>500mg I.V. 2x daily for 3-5 days followed by 500mg orally 2x daily for at least 10 days</t>
  </si>
  <si>
    <t>Latin America</t>
  </si>
  <si>
    <t>CAP diagnosis: fever, radiological evidence of pneumonia, and fulfilled at least one additional criteria</t>
  </si>
  <si>
    <t xml:space="preserve">A comparison of moxifloxacin and amoxicillin in the treatment of community-acquired pneumonia in Latin
America: Results of a multicenter clinical trial. </t>
  </si>
  <si>
    <t>Cefaclor versus amoxicillin in the treatment of bacterial pneumonia: a comparative double-blind study</t>
  </si>
  <si>
    <t>Adult patients with a history of acute onset of fever and cough, physical signs of pulmonary infection, purulent sputum with Gram stain showing monomorphic bacteria in presence of neutrophils, or an infiltrate on the chest X-ray.</t>
  </si>
  <si>
    <t>Diagnosis required evidence of new and persistent infiltrates on chest X-ray within 48h of the start of therapy, as well as specified symptoms of pneumonia</t>
  </si>
  <si>
    <t>Once-daily oral gatifloxacin vs three-times-daily co-amoxiclav in the treatment of patients with community-acquired pneumonia</t>
  </si>
  <si>
    <t>Diagnosis based on presence of a new infiltrate on chest radiographic image, fever &gt;38°C, and at least one of typical clinical signs</t>
  </si>
  <si>
    <t>Europe</t>
  </si>
  <si>
    <t>Europe, Israel</t>
  </si>
  <si>
    <t>10</t>
  </si>
  <si>
    <t>5-10 days</t>
  </si>
  <si>
    <t>Comparison of loracarbef (LY163892) versus amoxicillin in the treatment of bronchopneumonia and lobar pneumonia</t>
  </si>
  <si>
    <t>Enrollment criteria: Pulmonary infiltrates confirmed on chest x-ray</t>
  </si>
  <si>
    <t>Canada, France, Germany, UK, South Africa</t>
  </si>
  <si>
    <t>Loracarbef</t>
  </si>
  <si>
    <t>UK, Ireland</t>
  </si>
  <si>
    <t>Established diagnosis defined as radiographic and specific  signs and symptoms of suspected consistent with bacterial CAP</t>
  </si>
  <si>
    <t>Randomized, multicentre study of the efficacy and tolerance of azithromycin versus clarithromycin in the treatment of adults with mild to moderate community-acquired pneumonia. Azithromycin Study Group</t>
  </si>
  <si>
    <t>https://pubmed.ncbi.nlm.nih.gov/10052544/</t>
  </si>
  <si>
    <t>Efficacy and safety of azithromycin 1 g once daily for 3 days in the treatment of community-acquired pneumonia: an open-label randomized comparison with amoxicillin-clavulanate 875/125 mg twice daily for 7 days</t>
  </si>
  <si>
    <t>Clinical and radiological diagnosis of CAP</t>
  </si>
  <si>
    <t>Yaqub</t>
  </si>
  <si>
    <t>Comparison of early intravenous to oral switch amoxicillin/clavulanate with parenteral ceftriaxone in treatment of hospitalized patients with community acquired pneumonia</t>
  </si>
  <si>
    <t>Clinical diagnosis that had to be confiremd with a chest x-ray showing new infiltrates</t>
  </si>
  <si>
    <t>In review?</t>
  </si>
  <si>
    <t>x</t>
  </si>
  <si>
    <t>Adult or children</t>
  </si>
  <si>
    <t>age_specific</t>
  </si>
  <si>
    <t xml:space="preserve">Respiratory rate of ≥ 50 breaths per minute (for ages 2-11 months) or ≥ 40 per minute (for age 12-59 months). </t>
  </si>
  <si>
    <t>Access</t>
  </si>
  <si>
    <t>Relapse, treatment arm</t>
  </si>
  <si>
    <t>-</t>
  </si>
  <si>
    <t>Adverse events, treatment arm</t>
  </si>
  <si>
    <t>Mortality, treatment arm</t>
  </si>
  <si>
    <t>Hospitalisation, treatment arm</t>
  </si>
  <si>
    <t>Radiographically documented pneumonia; acute illness; 3 or more CABP symptoms; and 2 or more vital sign abnormalities</t>
  </si>
  <si>
    <t>Relapse, control arm</t>
  </si>
  <si>
    <t>Hospitalisation, control arm</t>
  </si>
  <si>
    <t>Adverse events, control arm</t>
  </si>
  <si>
    <t>Mortality, control arm</t>
  </si>
  <si>
    <t>Clinical cures/failure come from ITT estimates. Adverse events include mild, moderate and severe</t>
  </si>
  <si>
    <t>Efficacy and safety of azithromycin versus benzylpenicillin or erythromycin in community-acquired pneumonia</t>
  </si>
  <si>
    <t>https://doi.org/10.1007/bf02310353</t>
  </si>
  <si>
    <t>International multicentre</t>
  </si>
  <si>
    <t>The diagnosis CAP was defined as a new infiltrate on the chest radiograph.</t>
  </si>
  <si>
    <t>≥18 years</t>
  </si>
  <si>
    <t>500mg/d</t>
  </si>
  <si>
    <t>Mild to moderate CAP as demonstrated by a productive cough and two or more of the following signs or symptoms: auscultatory findings such as rales and/or evidence of pulmonary consolidation; dyspnea or tachypnea; elevated body temperature ( 38°C orally, 38.5°C tympanically, 39°C rectally, or 37.2°C axillary); elevated total peripheral white blood cell count ( 10,000/mm3); or 15% immature neutrophil</t>
  </si>
  <si>
    <t>Ketolide</t>
  </si>
  <si>
    <t>Novel, Single-Dose Microsphere Formulation of Azithromycin versus
7-Day Levofloxacin Therapy for Treatment of Mild to Moderate
Community-Acquired Pneumonia in Adults</t>
  </si>
  <si>
    <t>https://pmc.ncbi.nlm.nih.gov/articles/PMC1251562/pdf/1458-04.pdf</t>
  </si>
  <si>
    <t>USA, Canada, Argentina, India, Russia, Estonia, and Lithuania</t>
  </si>
  <si>
    <t>≥16 years</t>
  </si>
  <si>
    <t>Cough productive of sputum; diagnosis of pneumonia as demonstrated by two or more of the following signs or symptoms: auscultatory findings on pulmonary examination of rales and/or evidence of pulmonary consolidation; dyspnea or tachypnea; body temperature 38°C (oral); or an elevated total peripheral WBC count ( 10,000/ L) or 15% immature neutrophils (bands).</t>
  </si>
  <si>
    <t>TOC (days 14 to 21)</t>
  </si>
  <si>
    <t>https://doi.org/10.1378/chest.128.4.2230</t>
  </si>
  <si>
    <t>Presence of _1 of the following characteristics: fever (oral temperature, s38?C), hypothermia (oral temperature,-35?C), leukocytosis (WBC count, &gt;10,000 cells/mm3), or &gt;10% bands</t>
  </si>
  <si>
    <t>750mg/day</t>
  </si>
  <si>
    <t>500mg/day</t>
  </si>
  <si>
    <t>Outcome of cure at 7-14-day posttherapy</t>
  </si>
  <si>
    <t>https://pmc.ncbi.nlm.nih.gov/articles/PMC1479094/pdf/bmj33201355.pdf</t>
  </si>
  <si>
    <t>Clinical signs of pneumonia, a body temperature greater than 38°C, radiological evidence of a new infiltrate consistent with pneumonia, and a pneumonia severity index score of 110 or less</t>
  </si>
  <si>
    <t>Patients had IV 3 days of amoxicillin at first</t>
  </si>
  <si>
    <t>Length hospital stay (day), control arm</t>
  </si>
  <si>
    <t>Length hospital stay (day), treatment arm</t>
  </si>
  <si>
    <t>https://pubmed.ncbi.nlm.nih.gov/17537866/</t>
  </si>
  <si>
    <t>Bulgaria, Croatia, Cezch Republic, Lithuania, Poland, Romania, Russia, Ukraine, USA</t>
  </si>
  <si>
    <t xml:space="preserve">Clinical diagnosis of CAP characterized by fever, radiologically confirmed evidence of new or progressive infiltrate(s) or pleural effusion consistent with pneumonia and at least two of the following signs and symptoms: new or increased cough, purulent sputum or a change in sputum characteristics, rales and/or evidence of pulmonary consolidation or dyspnoea. </t>
  </si>
  <si>
    <t>https://pmc.ncbi.nlm.nih.gov/articles/PMC383371/pdf/bmj32800791.pdf</t>
  </si>
  <si>
    <t>https://link.springer.com/content/pdf/10.1007/bf01975846.pdf</t>
  </si>
  <si>
    <t>Azithromycin versus Cefaclor in the Treatment of Acute Bacterial Pneumonia</t>
  </si>
  <si>
    <t xml:space="preserve">Clinicaldiagnosis of acute bacterial pneumonia (based on signs/symptoms including: fever, cough, purulent sputum, rales/rhonchi, leucocytosis, and infiltrate on chest x-ray) </t>
  </si>
  <si>
    <t>Japan</t>
  </si>
  <si>
    <t>Croatia,Slovenia, Czech Republic, Poland, Russia, and Slovak Republi</t>
  </si>
  <si>
    <t xml:space="preserve">Clinical and radiographic documentation of CAP that necessitated hospitalization and initial i.v. antibiotic therapy were eligible for the study.  clinical diagnosis of
CAP was supported by at least two of the following signs and symptoms: cough, chest pain, dyspnea,auscultatory findings (rales and/or sign of consolidation), axillary temperature of &gt;38°C or leukocytosis (WBC &gt;10x109/L). </t>
  </si>
  <si>
    <t>Clinical cure ITT, treatment arm</t>
  </si>
  <si>
    <t>Clinical cure PP, treatment arm</t>
  </si>
  <si>
    <t>Treatment failure PP, treatment arm</t>
  </si>
  <si>
    <t>Clinical cure ITT, control arm</t>
  </si>
  <si>
    <t>Treatment failure ITT, treatment arm</t>
  </si>
  <si>
    <t>Treatment failure PP, control arm</t>
  </si>
  <si>
    <t>Treatment failure ITT, control arm</t>
  </si>
  <si>
    <t>Original total sample size RCT</t>
  </si>
  <si>
    <t>Overall participants ITT, control arm</t>
  </si>
  <si>
    <t>Overall participants ITT, treatment arm</t>
  </si>
  <si>
    <t>ITT is same as clinical evaluation</t>
  </si>
  <si>
    <t>320mg/d</t>
  </si>
  <si>
    <t>Mixed</t>
  </si>
  <si>
    <t>Overall clinically eligible PP, treatment arm</t>
  </si>
  <si>
    <t>Overall clinically eligible PP, control arm</t>
  </si>
  <si>
    <t>Outcome end of therapy</t>
  </si>
  <si>
    <t>Efficacité comparée de la ceftriaxone dans un
traitement de dix jours versus un traitement raccourci
de cinq jours des pneumonies aigues communautaires
de l’adulte hospitalisé avec facteur de risque</t>
  </si>
  <si>
    <t>https://www.sciencedirect.com/science/article/pii/S0399077X02003840?casa_token=T-x1rnMzB1AAAAAA:r7RzO4UIk59RHjdq7ElcEGSiH2D31UrP4O4GJCNs80vt-wFGItyUEKZ6VhWbYfvizSCFJptavr8</t>
  </si>
  <si>
    <t>To have a fever of 38°C and at least two clinical signs relating to the diagnosis of a CAP such as: purulent expectoration, chest pain, dyspnea, chills, focal signs on auscultation, cough.</t>
  </si>
  <si>
    <t>1000mg/d</t>
  </si>
  <si>
    <t>Ceftriaxone for 10 days was firstly oral and then intramuscular, same doses</t>
  </si>
  <si>
    <t>2–59 months</t>
  </si>
  <si>
    <t>cough or difficult breathing with fast breathing (respiratory rate 50 breaths per min for children aged 2–11 months, or 40 breaths per min for children aged 12–59 months); severe pneumonia—cough or difficult breathing, with indrawing of the lower chest wall (with or without fast breathing); very severe pneumonia/disease—cough or difficult breathing with one or more danger signs (central cyanosis, inability to drink, or unusually sleepy).</t>
  </si>
  <si>
    <t>Outcomes at 5-day follow up</t>
  </si>
  <si>
    <t>≥12 years</t>
  </si>
  <si>
    <t>≥14 years</t>
  </si>
  <si>
    <t>https://www.tandfonline.com/doi/pdf/10.1179/joc.2008.20.1.77?casa_token=hJHix3jZmwwAAAAA:elv8cOeYnuJm1GZ8qqzM5Yp_OCysvzmIl8OmwI0YSvovsctIF-YwPxhchY3lRqdrU9Y-WgO8nR1gsg</t>
  </si>
  <si>
    <t>Three-day Azithromycin Compared with Ten-day Roxithromycin Treatment of Atypical Pneumonia</t>
  </si>
  <si>
    <t>https://doi.org/10.3109/00365549409008639</t>
  </si>
  <si>
    <t>https://doi.org/10.1093/jac/25.suppl_A.123</t>
  </si>
  <si>
    <t>Comparison of azithromycin and erythromycin in the treatment of atypical pneumonias</t>
  </si>
  <si>
    <t>Patients with a clinical picture and chest X-rays compatible with atypical pneumonia were included</t>
  </si>
  <si>
    <t>History, physical examination, characteristic chest X-ray and laboratory data (low erythrocyte sedimentation rate (ESR), normal number of leukocytes and absence of neutrophilia in peripheral blood)</t>
  </si>
  <si>
    <t>250mg/d</t>
  </si>
  <si>
    <t>https://journals.lww.com/americantherapeutics/abstract/1999/07000/Comparison_of_7_Versus_10_Days_of_Antibiotic.7.aspx?casa_token=5VGtKejqjhQAAAAA:2M-cp-x-L681IsPoiCmq28TMKB6tOuzV-SpbkIZBSkKhLz8d8xTRC7CqW2EDMJh1C4pCnaaBYxrfzSq9g9RWGmUc</t>
  </si>
  <si>
    <t>New pulmonary infiltrate on chest radiograph and either (1) clinical history consistent with pneumonia (eg, fever, chills, cough, sputum, or chest pain) or (2) physical findings suggestive of pneumonia (localized crackles or bronchial breath sounds).</t>
  </si>
  <si>
    <t>Clinical and bacteriological efficacy and safety of 5 and 7 day regimens of telithromycin once daily compared with a 10 day regimen of clarithromycin twice daily
in patients with mild to moderate community-­ acquired pneumonia</t>
  </si>
  <si>
    <t>Argentina, Brazil, Canada, Chile, Germany, South Africa, Spain,
UK and USA</t>
  </si>
  <si>
    <t>Clinical and chest X-ray findings com-
patible with a diagnosis of CAP.</t>
  </si>
  <si>
    <t xml:space="preserve">1) new inflammatory infiltration revealed by chest x-ray;
2) fever (axillary temperature ≥37.6 °C or oral ≥38.1 °C or rectal
≥38.6 °C); 3) peripheral white blood cell (WBC) count N10 × 109/L or
neutrophils N70%; 4) at least one of the following: cough, chest pain,
moist rales on auscultation; 5) purulent sputum: direct sputum
smear WBC ≥25 per low-power field, squamous epithelial cells b10
per low-power field; 6) respiratory frequency ≥21 breaths per
minute; and 7) heart rate ≥90 beats per minute. </t>
  </si>
  <si>
    <t>750mg/d</t>
  </si>
  <si>
    <t>Shorr</t>
  </si>
  <si>
    <t>Levofloxacin 750-mg for 5 days for the
treatment of hospitalized Fine Risk Class III/IV
community-acquired pneumonia patients</t>
  </si>
  <si>
    <t>Only those patients that belonged to PSI
Class III (Score 470 but p90) or PSI Class IV (490
but p130) were included</t>
  </si>
  <si>
    <t>Notes</t>
  </si>
  <si>
    <t>Al-Salloum 2021</t>
  </si>
  <si>
    <t>Asadi 2012</t>
  </si>
  <si>
    <t>Montes-Andujar 2021</t>
  </si>
  <si>
    <t>Chien 1993</t>
  </si>
  <si>
    <t>Hatipoglu 2000</t>
  </si>
  <si>
    <t>Jang 1995</t>
  </si>
  <si>
    <t>Lin 2007</t>
  </si>
  <si>
    <t>Garin 2014</t>
  </si>
  <si>
    <t>Dean 2006</t>
  </si>
  <si>
    <t>Tamm 2007</t>
  </si>
  <si>
    <t>Zervos 2004</t>
  </si>
  <si>
    <t>Frank 2002</t>
  </si>
  <si>
    <t>Rubio 2008</t>
  </si>
  <si>
    <t>https://pubmed.ncbi.nlm.nih.gov/17939262/</t>
  </si>
  <si>
    <t>https://pubmed.ncbi.nlm.nih.gov/25286173/</t>
  </si>
  <si>
    <t>Zervos</t>
  </si>
  <si>
    <t>(1) character-
istic clinical signs, including ≥ 1 of the following: (a)
fever (oral temperature ≥ 38°C) or hypothermia (≤
35°C), (b) leukocytosis (&gt;10,000 white blood
cells/mm3) or bands &gt; 10%; (2) acute infiltrate con-
sistent with pneumonia on chest radiography; (3) at
least one respiratory symptom: (a) cough or increas-
ing cough severity, (b) purulent sputum/acute change
in the quality of sputum, (c) dyspnea.</t>
  </si>
  <si>
    <t>Microbiologically evaluable PP, treatment arm</t>
  </si>
  <si>
    <t>Microbiologically evaluable PP, control arm</t>
  </si>
  <si>
    <t>Failure to Eradication microbiologically evaluable, treatment arm</t>
  </si>
  <si>
    <t>Failure to Eradication microbiologically evaluable, control arm</t>
  </si>
  <si>
    <t>Presence of at least 2 clinical findings sug-
gestiveofpneumonia,andpresenceofanewinfiltrateonchest
radiograph</t>
  </si>
  <si>
    <t>Intensive care unit, control arm</t>
  </si>
  <si>
    <t>Intensive care unit, treatment arm</t>
  </si>
  <si>
    <t>Hospital readmission, treatment arm</t>
  </si>
  <si>
    <t>1500mg/Q8h</t>
  </si>
  <si>
    <t>1500mg/Q8h+500mg/Q12h</t>
  </si>
  <si>
    <t>250/125mg + 500mg Q8h</t>
  </si>
  <si>
    <t>Cephalosporin+Macrolide</t>
  </si>
  <si>
    <t>A multicenter, open-label, randomized comparison
of levofloxacin and azithromycin plus ceftri-
axone in hospitalized adults with moderate
to severe community-acquired pneumonia.</t>
  </si>
  <si>
    <t>https://pubmed.ncbi.nlm.nih.gov/12240780/</t>
  </si>
  <si>
    <t>1000mg/d, 500mg/d</t>
  </si>
  <si>
    <t>Cephalosporin</t>
  </si>
  <si>
    <t>https://link.springer.com/article/10.2165/00151829-200403050-00006</t>
  </si>
  <si>
    <t>Finch 2002</t>
  </si>
  <si>
    <t>Portier 2005</t>
  </si>
  <si>
    <t>Petripretz 2001</t>
  </si>
  <si>
    <t>Welte 2005</t>
  </si>
  <si>
    <t>Katz 2004</t>
  </si>
  <si>
    <t>Torres 2008</t>
  </si>
  <si>
    <t>Xu 2006</t>
  </si>
  <si>
    <t>An, 2010</t>
  </si>
  <si>
    <t>Reviews/ Primary articles</t>
  </si>
  <si>
    <t xml:space="preserve">The diagnostic criteria included (1) characteristic clinical signs, including ~1 of the following-fever (oral temperature&gt;38”C), hypothermia (oral temperature
&lt;35.5”C), leukocytosis (&gt;lO,OOO white blood cells/mm3), or bands &gt;lO%; (2) radiologic evidence of pneumonia (an acute infiltrate consistent with pneumonia on
chest radiography); (3) collection of a mucopurulent sputum specimen for culture and Gram’s staining within 24 hours before study drug administration; and (4) a Fine risk score12 of 71 to 130 (indicative of moderate to severe disease and associated need for hospitalization) at study inclusion. </t>
  </si>
  <si>
    <t>https://www.sciencedirect.com/science/article/abs/pii/S0012369215375838</t>
  </si>
  <si>
    <t>https://academic.oup.com/cid/article-abstract/46/10/1499/292940?redirectedFrom=PDF#google_vignette</t>
  </si>
  <si>
    <t>https://link.springer.com/article/10.1007/s11596-006-0411-0</t>
  </si>
  <si>
    <t>https://pubmed.ncbi.nlm.nih.gov/12019085/</t>
  </si>
  <si>
    <t>To meet the definition of severe CAP thepatients had to have at least one of the following: a respiratory rate of 30 breaths/min, hypoxemia with a partial oxygen pressure of 8 kPa (60 mm Hg), a need for mechanical ventilation, diastolic blood pressure 60 mm Hg, a chest
X ray showing bilateral or multilobar involvement, or a requirement for treat-
ment with vasopressors for more than 4 h.</t>
  </si>
  <si>
    <t>400mg 24p/d then 400mg/d</t>
  </si>
  <si>
    <t>1.2g 20 ml IV 3x a day. After,  3x/d  625-mg tablets</t>
  </si>
  <si>
    <t>Penicillin+Macrolide</t>
  </si>
  <si>
    <t>Amoxiclav</t>
  </si>
  <si>
    <t>Amoxiclav+claritromicyn</t>
  </si>
  <si>
    <t>https://pubmed.ncbi.nlm.nih.gov/15944847/</t>
  </si>
  <si>
    <t>The pretherapy chest radiograph had to confirm the
presence of a recent pulmonary infiltrate consistent with
the diagnosis of pneumonia.</t>
  </si>
  <si>
    <t>Pathogen spneumoniae</t>
  </si>
  <si>
    <t>Pathogen Hinfluenzae</t>
  </si>
  <si>
    <t>Pathogen K pneumoniae</t>
  </si>
  <si>
    <t>In-hospital mortality, 90-day re-hospitalisation</t>
  </si>
  <si>
    <t>Atypical pathogens</t>
  </si>
  <si>
    <t>Pathogen Pseudomonas spp</t>
  </si>
  <si>
    <t>Clinical success or eradication microbiologically evaluable, treatment arm</t>
  </si>
  <si>
    <t>Clinical success or eradication microbiologically evaluable, control arm</t>
  </si>
  <si>
    <t>drug-related adverse events, treatment arm</t>
  </si>
  <si>
    <t>drug-related adverse events, control arm</t>
  </si>
  <si>
    <t>serious adverse events, control arm</t>
  </si>
  <si>
    <t xml:space="preserve">Patients were required to have fever (defined as an axillary, oral,
or cutaneous temperature of 138 C or a tympanic or rectal temperature of 138.5 C), leukocytosis (leukocyte level, 110,000 leukocytes/mL) or leukopenia (leukocyte level, !4500 leukocytes/mL), and/or 15% immature neutrophils; radiological evidence of an infiltrate consistent with pneumonia; and at least 2 of the following conditions: cough, dyspnea or tachypnea,rigor and/or chills, pleuritic chest pain, purulent sputum or
changes in the characteristics of sputum, and auscultatory find-
ings. </t>
  </si>
  <si>
    <t>Germany, France, Greece, Lithuania, Poland</t>
  </si>
  <si>
    <t>7-10days</t>
  </si>
  <si>
    <t>Ceftriaxone+levofloxacin</t>
  </si>
  <si>
    <t>2g/d+500mg/2p/d</t>
  </si>
  <si>
    <t xml:space="preserve">Radiological evidence of CAP </t>
  </si>
  <si>
    <t>Pathogen Saureus</t>
  </si>
  <si>
    <t>Romanelli 2002</t>
  </si>
  <si>
    <t>Romanelli</t>
  </si>
  <si>
    <t>Carbapenems in the Treatment of Severe Community- Acquired Pneumonia in Hospitalized Elderly Patients: A Comparative Study Against Standard Therapy</t>
  </si>
  <si>
    <t>https://pubmed.ncbi.nlm.nih.gov/12583553/</t>
  </si>
  <si>
    <t>Meropenem</t>
  </si>
  <si>
    <t>Carbapenem</t>
  </si>
  <si>
    <t>Imipenem</t>
  </si>
  <si>
    <t xml:space="preserve"> a) the presence of a new pulmonary infiltrate suggestive of pneumonia based on chest radiography; b) the presence of clini-cal signs and symptoms of lower respiratory tract infection; c) acquisition of the infection outside the hospital Patients </t>
  </si>
  <si>
    <t>≥70 years</t>
  </si>
  <si>
    <t>Efficacy and safety of intravenous moxifloxacin versus
cefoperazone with azithromycin in the treatment of community acquired pneumonia</t>
  </si>
  <si>
    <t>Comparative Efficacies and Tolerabilities of
Intravenous Azithromycin Plus Ceftriaxone and Intravenous Levofloxacin with Step-Down Oral Therapy for Hospitalized Patients with Moderate to Severe Community-Acquired Pneumonia</t>
  </si>
  <si>
    <t>Clarithromycin+amikacin</t>
  </si>
  <si>
    <t>500mg+250mg</t>
  </si>
  <si>
    <t>500mg+1g</t>
  </si>
  <si>
    <t>USA, Canada, Europe</t>
  </si>
  <si>
    <t>1g+500mg/d</t>
  </si>
  <si>
    <t>PSI&gt;70 or CAP with chest xray; cough; body temperature, etc.</t>
  </si>
  <si>
    <t>500mg/Q8h</t>
  </si>
  <si>
    <t>7-13days</t>
  </si>
  <si>
    <t>8-14days</t>
  </si>
  <si>
    <t>9-16days</t>
  </si>
  <si>
    <t>Macrolide+aminoglycoside</t>
  </si>
  <si>
    <t>Ashy, 2022</t>
  </si>
  <si>
    <t>Anderson 1991</t>
  </si>
  <si>
    <t>Hatipoglu</t>
  </si>
  <si>
    <t>500mg/Q6h</t>
  </si>
  <si>
    <t>500mg/Q12h</t>
  </si>
  <si>
    <t>Canada,Sweden</t>
  </si>
  <si>
    <t>250mg/Q12h</t>
  </si>
  <si>
    <t xml:space="preserve">A comparative efficacy and safety study of clarithromycin, roxithromycin and erythromycin stearate in mild pneumonia. </t>
  </si>
  <si>
    <t>https://www.sciencedirect.com/science/article/abs/pii/S0012369215415946</t>
  </si>
  <si>
    <t>https://synapse.koreamed.org/articles/1029136</t>
  </si>
  <si>
    <t>Patients were to have at least three of the following features: pyrexia, dyspnoea, tachypnoea, rales,localized reduced breath sounds and cough. The diagnosis was later confirmed radiologically.</t>
  </si>
  <si>
    <t>58 (61%)</t>
  </si>
  <si>
    <t>6/39 (15%)</t>
  </si>
  <si>
    <t>9/104 (8.7%) to Azithromycin and 4/104  (3.8%) to Ceftriaxone</t>
  </si>
  <si>
    <t>1/104 (0.1%) to Levofloxacin</t>
  </si>
  <si>
    <t>14/39 (35%)</t>
  </si>
  <si>
    <t>Diagnosis of pneumonia was based on pretreatment chest radiograph (CXR) demonstrating a new infiltrate(s) consistent with pneumonia; a positive bacterial culture of bronchopulmonary secretions before treatment or a history and clinical findings consistent with a diagnosis of bacterial or atypical pneumonia to be confirmed subsequently by positive culture or serologic results.</t>
  </si>
  <si>
    <t>A clinical diagnosis of mild pneumonia was required for study entry. Pneumonia was diagnosed by the presence of the following two criteria: (1) an acute pulmonary infiltrate that was evident on the chest radiographs and that was consistent with pneumonia, and (2) compatible clinical symptoms and signs. Among the patients with pneumonia, mild community-acquired pneumonia cases</t>
  </si>
  <si>
    <t>150mg/Q12h</t>
  </si>
  <si>
    <t>Bai, 2021</t>
  </si>
  <si>
    <t>Basilim, 2022</t>
  </si>
  <si>
    <t>Ben-shimol, 2014</t>
  </si>
  <si>
    <t>Bjerre, 2009</t>
  </si>
  <si>
    <t>Chang, 2019</t>
  </si>
  <si>
    <t>Choi, 2023</t>
  </si>
  <si>
    <t>Das, 2023</t>
  </si>
  <si>
    <t>Dimopoulos, 2008</t>
  </si>
  <si>
    <t>Du, 2021</t>
  </si>
  <si>
    <t>Eljaaly, 2020</t>
  </si>
  <si>
    <t>Furukawa, 2023</t>
  </si>
  <si>
    <t>Gao, 2023</t>
  </si>
  <si>
    <t>Haider, 2008</t>
  </si>
  <si>
    <t>Horita, 2016</t>
  </si>
  <si>
    <t>Hu, 2025</t>
  </si>
  <si>
    <t>Kuitunen, 2023</t>
  </si>
  <si>
    <t>Kurotschcka, 2024</t>
  </si>
  <si>
    <t>Lan, 2019</t>
  </si>
  <si>
    <t>Lan, 2020</t>
  </si>
  <si>
    <t>Lassi, 2014</t>
  </si>
  <si>
    <t>Lee, 2016</t>
  </si>
  <si>
    <t>Li, 2007</t>
  </si>
  <si>
    <t>Li, 2022</t>
  </si>
  <si>
    <t>Liu, 2019</t>
  </si>
  <si>
    <t>Lodha, 2013</t>
  </si>
  <si>
    <t>Lodha, 2016</t>
  </si>
  <si>
    <t>Marquez, 2022</t>
  </si>
  <si>
    <t>Marras, 2004</t>
  </si>
  <si>
    <t>Mo, 2025</t>
  </si>
  <si>
    <t>Moller-Gunderse, 2019</t>
  </si>
  <si>
    <t>Pakhale, 2014</t>
  </si>
  <si>
    <t>Prizao, 2025</t>
  </si>
  <si>
    <t>Raz Pasteur, 2015</t>
  </si>
  <si>
    <t>Skalsky, 2013</t>
  </si>
  <si>
    <t>Taboada, 2016</t>
  </si>
  <si>
    <t>Tansarli, 2018</t>
  </si>
  <si>
    <t>Teng, 2023</t>
  </si>
  <si>
    <t>Vardakas, 2008</t>
  </si>
  <si>
    <t>Wen, 2019</t>
  </si>
  <si>
    <t>Yuan, 2019</t>
  </si>
  <si>
    <t>Zhang, 2018</t>
  </si>
  <si>
    <t>Aliberti, 2017</t>
  </si>
  <si>
    <t>Bergallo, 2009</t>
  </si>
  <si>
    <t>Ceccato, 2017</t>
  </si>
  <si>
    <t>Drehobl, 2005</t>
  </si>
  <si>
    <t>el Moussaoui, 2006</t>
  </si>
  <si>
    <t>English, 2012</t>
  </si>
  <si>
    <t>File, 2010</t>
  </si>
  <si>
    <t>File, 2011</t>
  </si>
  <si>
    <t>File, 2007</t>
  </si>
  <si>
    <t>File, 1997</t>
  </si>
  <si>
    <t>Fujita, 2013</t>
  </si>
  <si>
    <t>Jandourek, 2014</t>
  </si>
  <si>
    <t>Kohno, 2013</t>
  </si>
  <si>
    <t>Kuzman, 2005</t>
  </si>
  <si>
    <t>Leroy, 2005</t>
  </si>
  <si>
    <t>Liu, 2017</t>
  </si>
  <si>
    <t>Lode, 2004</t>
  </si>
  <si>
    <t>Low, 2011</t>
  </si>
  <si>
    <t>Manu, 2018</t>
  </si>
  <si>
    <t>Nicholson, 2012</t>
  </si>
  <si>
    <t>Oosterheert, 2006</t>
  </si>
  <si>
    <t>Paris, 2008</t>
  </si>
  <si>
    <t>Pertel, 2008</t>
  </si>
  <si>
    <t>Postma, 2015</t>
  </si>
  <si>
    <t>Rank, 2011</t>
  </si>
  <si>
    <t>Shorr, 2006</t>
  </si>
  <si>
    <t>Tanaseanu, 2009</t>
  </si>
  <si>
    <t>Uranga, 2016</t>
  </si>
  <si>
    <t>Yanagihara, 2006</t>
  </si>
  <si>
    <t>Zhao, 2014</t>
  </si>
  <si>
    <t>Zhong, 2015</t>
  </si>
  <si>
    <t>Integrated Analysis of FOCUS 1 and FOCUS 2: Randomized, Doubled-Blinded, Multicenter Phase 3 Trials of the Efficacy and Safety of Ceftaroline Fosamil versus Ceftriaxone in Patients with Community- Acquired Pneumonia</t>
  </si>
  <si>
    <t>A multicenter, randomized study comparing the efficacy and safety of intravenous and/or oral levofloxacin versus ceftriaxone and/or cefuroxime axetil in treatment of adults with community-acquired pneumonia</t>
  </si>
  <si>
    <t>Liu</t>
  </si>
  <si>
    <t>A randomized, double-blind, multicenter phase II study comparing the efficacy and safety of oral nemonoxacin with oral levofloxacin in the treatment of community-acquired pneumonia</t>
  </si>
  <si>
    <t>Manu</t>
  </si>
  <si>
    <t>Comparative efficacy and safety analysis of CSE-1034: An open labeled phase III study in community acquired pneumonia</t>
  </si>
  <si>
    <t>Nicholson</t>
  </si>
  <si>
    <t>A randomised, double-blind trial comparing ceftobiprole medocaril with ceftriaxone with or without linezolid for the treatment of patients with community-acquired pneumonia requiring hospitalisation</t>
  </si>
  <si>
    <t>Pertel</t>
  </si>
  <si>
    <t>Effects of prior effective therapy on the efficacy of daptomycin and ceftriaxone for the treatment of community-acquired pneumonia</t>
  </si>
  <si>
    <t>Clinical Comparative Study of Sulbactam/Ampicillin and Imipenem/Cilastatin in Elderly Patients with Community-Acquired Pneumonia</t>
  </si>
  <si>
    <t>Ceftaroline fosamil versus ceftriaxone for the treatment of Asian patients with community-acquired pneumonia: a randomised, controlled, double-blind, phase 3, non-inferiority with nested superiority trial</t>
  </si>
  <si>
    <t>https://pubmed.ncbi.nlm.nih.gov/18990531/</t>
  </si>
  <si>
    <t>Reserve</t>
  </si>
  <si>
    <t>Glycylcycline</t>
  </si>
  <si>
    <t>North America, South America, and Mexico/Central America</t>
  </si>
  <si>
    <t>Symptoms, fever, cough, hospitalisation, etc.</t>
  </si>
  <si>
    <t>2000mg/d</t>
  </si>
  <si>
    <t>750mg IV/d</t>
  </si>
  <si>
    <t>750mg/d IV &amp; oral</t>
  </si>
  <si>
    <t>USA, Canada, South Africa</t>
  </si>
  <si>
    <t>Two syntoms: cough, fever, dyspnea, ausculatory, elevatel total peripheral WBC&gt;10000/min.</t>
  </si>
  <si>
    <t>None</t>
  </si>
  <si>
    <t>https://academic.oup.com/cid/article/51/12/1395/316641</t>
  </si>
  <si>
    <t>Radiographically confirmed CAP</t>
  </si>
  <si>
    <t>Ceftaroline</t>
  </si>
  <si>
    <t>1g/d</t>
  </si>
  <si>
    <t>5-7days</t>
  </si>
  <si>
    <t>MDR Spneumo y MRSA as AMR</t>
  </si>
  <si>
    <t>https://journals.asm.org/doi/abs/10.1128/aac.41.9.1965</t>
  </si>
  <si>
    <t>1-2g/Q12-24h or 500mg/Q12h</t>
  </si>
  <si>
    <t>Patients had to have a new pulmonary infiltrate, as revealed by chest roentgenogram, compatible with pneumonia and two or more signs and symptoms consistent with a lower respiratory tract infection (i.e., elevated temperature, new or increased cough, production of purulent sputum, rales or pleuritic chest pain and shortness of breath).</t>
  </si>
  <si>
    <t>600mg/Q12h</t>
  </si>
  <si>
    <t>500mg/d IV for 1-4days followed by oral 500mg/d for 3 days</t>
  </si>
  <si>
    <t>1.5g IV Q8h for 1-4 days and 500mg oral b.i.d. for 7days</t>
  </si>
  <si>
    <t>https://www.sciencedirect.com/science/article/pii/S1684118215009159</t>
  </si>
  <si>
    <t>Quinolone</t>
  </si>
  <si>
    <t>Diagnosis was based on two or more of the following clinical manifestations and a chest radiograph showing new lobar or multi- lobar infiltrates consistent with CAP within 48 hours. Clinical manifestations included (1) productive cough with purulent sputum or deterioration of existing respiratory symptoms; (2) fever (i.e., oral temperature 37.3 C); (3) evidence of pulmonary consolidation and/or rales; (4) peripheral white blood cell count of &gt; 10 109 cells/L or &lt; 4 109 cells/L or a neutrophil level &gt; 70%. Criterion (2) or (4) had to be present when patients were enrolled.</t>
  </si>
  <si>
    <t>https://www.sciencedirect.com/science/article/pii/S1198743X14623314</t>
  </si>
  <si>
    <t>500/125mg/Q8h/d</t>
  </si>
  <si>
    <t>https://www.sciencedirect.com/science/article/pii/S187603411830042X</t>
  </si>
  <si>
    <t>Subjects with clinical findings and/or chest X-ray suggestive of CAP (PORT Risk III–IV) requiring hospitalization and treatment with intravenous (IV) antimicrobials were only considered for the study.</t>
  </si>
  <si>
    <t>3g/d</t>
  </si>
  <si>
    <t>3-10days</t>
  </si>
  <si>
    <t>2g/d</t>
  </si>
  <si>
    <t>Ambulatory &amp; hospital</t>
  </si>
  <si>
    <t>https://www.sciencedirect.com/science/article/abs/pii/S0924857911004614</t>
  </si>
  <si>
    <t>Ceftobiprole</t>
  </si>
  <si>
    <t>CAP was characterised by acquisition of pneumonia whilst patients were residing in the community (not in a chronic care facility) and with no history of hospitalisation in the 14 days before onset of pneumonia symptoms</t>
  </si>
  <si>
    <t>875/125mg/Q12h</t>
  </si>
  <si>
    <t>https://pubmed.ncbi.nlm.nih.gov/18444848/</t>
  </si>
  <si>
    <t>Daptomycin</t>
  </si>
  <si>
    <t>4mg/kg/d</t>
  </si>
  <si>
    <t>Lipopeptide</t>
  </si>
  <si>
    <t>5-14days</t>
  </si>
  <si>
    <t>Patients were required to have a new pulmonary infiltrate found on a chest radiograph within 48 h after enrollment and 2 of the following clinical characteristics: cough,purulent sputum or change in sputum character, rales or pulmonary consolidation, dyspnea or tachypnea, fever (oral temperature, 138.0 C) or hypothermia (core temperature,!35.0 C), elevated WBC count (110,000 cells/mm3) or 115% immature neutrophils or leukopenia (WBC count, !4500 cells/mm3), or hypoxemia (partial pressure of oxygen, !60 mm Hg, or oxygen saturation, !90% on room air).</t>
  </si>
  <si>
    <t>https://www.sciencedirect.com/science/article/pii/S095461110600165X</t>
  </si>
  <si>
    <t>https://link.springer.com/article/10.1186/1471-2466-9-44</t>
  </si>
  <si>
    <t>Clinical diagnosis of CAP supported by radiographic evidence were stratified by Fine Pneumonia Severity Index</t>
  </si>
  <si>
    <t>Europe, Africa, and Asia Pacific regions</t>
  </si>
  <si>
    <t>50mg/Q12h</t>
  </si>
  <si>
    <t>13 spneumoniae resistant to penicillins, no MRSA</t>
  </si>
  <si>
    <t>https://journals.asm.org/doi/full/10.1128/aac.00295-10</t>
  </si>
  <si>
    <t xml:space="preserve">A clinical diagnosis of mild to moderate CAP characterized by fever (oral temperature, 38°C, or equivalent tympanic or rectal temperature) within the previous 24 h and at least one of the following signs and symptoms: chills, shortness of breath, tachypnea ( 20 breaths/min), cough, pleuritic chest pain, purulent sputum, crackles on auscultation, rales, rhonchi, egophony, pulmonary consolidation, or dullness to percussion. </t>
  </si>
  <si>
    <t>≥65 years</t>
  </si>
  <si>
    <t>6g/d</t>
  </si>
  <si>
    <t>https://pubmed.ncbi.nlm.nih.gov/17015999/</t>
  </si>
  <si>
    <t>JRS criteria for CAP severity</t>
  </si>
  <si>
    <t>https://pubmed.ncbi.nlm.nih.gov/25539586/</t>
  </si>
  <si>
    <t>Radiographically confi rmed pneumonia, defi ned as new or progressive pulmonary infi ltrates on chest radiograph or CT scan consistent with bacterial pneumonia, acute illness (duration ≤7 days) with at least three clinical signs or symptoms of pneumonia, and PORT risk class III or IV disease (ie, PORT score &gt;70 and ≤130)18 that required hospital admission and intravenous antibiotic treatment</t>
  </si>
  <si>
    <t>Lode,1995</t>
  </si>
  <si>
    <t>Hoefken, 2001</t>
  </si>
  <si>
    <t>Fogarty, 2004</t>
  </si>
  <si>
    <t>Bradley, 2007</t>
  </si>
  <si>
    <t>https://academic.oup.com/cid/article/38/Supplement_1/S16/325604#google_vignette</t>
  </si>
  <si>
    <t>Multicenter, Open-Label, Randomized Study to Compare the Safety and Efficacy of Levofloxacin versus Ceftriaxone Sodium and Erythromycin Followed by Clarithromycin and Amoxicillin- Clavulanate in the Treatment of Serious Community-Acquired Pneumonia in Adults</t>
  </si>
  <si>
    <t>https://pubmed.ncbi.nlm.nih.gov/11453311/#:~:text=Clinical%20success%20rates%20were%20maintained,equally%20effective%20in%20treating%20CAP.</t>
  </si>
  <si>
    <t>https://pubmed.ncbi.nlm.nih.gov/8666093/</t>
  </si>
  <si>
    <t>https://pubmed.ncbi.nlm.nih.gov/17901791/</t>
  </si>
  <si>
    <t>At least 3 American Thoracic Society criteria for inpatient treatment were included in the study</t>
  </si>
  <si>
    <t>1-2g/d + 500-1000mg/Q6h/d</t>
  </si>
  <si>
    <t>&gt;6 years</t>
  </si>
  <si>
    <t>A diagnosis of CAP was defined as radiographic evidence of pulmonary infiltrate consistent with acute infection requiring antibiotic therapy, and the presence of 2 or more of the indications of pneumonia: fever (rectal or oral temperature 38°C for children 2 years, or 38.3°C for children 0.5 to 2 years), shortness of breath, cough, chest pain, abnormal white blood cell count ( 15,000/ L or 5000/ L), or physical signs of pneumonia on examination (eg, rales on auscultation, dullness to percussion, egophony).</t>
  </si>
  <si>
    <t>500/125mg/Q12h</t>
  </si>
  <si>
    <t>10mg/kg/Q12h</t>
  </si>
  <si>
    <t>22.5mg/kg/d or 25mg/kg/Q12h</t>
  </si>
  <si>
    <t>Penicillin/Cephalosporin</t>
  </si>
  <si>
    <t>Access/Watch</t>
  </si>
  <si>
    <t>400mg+200mg/d</t>
  </si>
  <si>
    <t>1g/Q12h</t>
  </si>
  <si>
    <t>CAP was diagnosed clinically on the basis of chest radiographs and the presence of fever (core temperature 438?58C or oral temperature 4388C) and/or leukocytosis (410 000 mm3), together with one or more of the following symptoms: productive cough, purulent sputum, dyspnoea or tachypnoea (20 breaths min71), rigors/chills, pleuritic chest pain or rales/rhonchi indicating consolidation.</t>
  </si>
  <si>
    <t>200mg/d</t>
  </si>
  <si>
    <t>Hazir, 2007</t>
  </si>
  <si>
    <t>Agarwal, 2007</t>
  </si>
  <si>
    <t>Hazir, 2011</t>
  </si>
  <si>
    <t>MASCOT, 2003</t>
  </si>
  <si>
    <t>Awasthi, 2008</t>
  </si>
  <si>
    <t>Rasmussen, 2005</t>
  </si>
  <si>
    <t>Catchup, 2002</t>
  </si>
  <si>
    <t>Ferwerda, 2001</t>
  </si>
  <si>
    <t>MASCOT</t>
  </si>
  <si>
    <t>Rasmussen</t>
  </si>
  <si>
    <t>https://adc.bmj.com/content/92/4/291.short</t>
  </si>
  <si>
    <t>Comparison of standard versus double dose of amoxicillin in the treatment of non-severe pneumonia in children aged 2– 59 months: a multi-centre, doubleblind, randomised controlled trial in Pakistan</t>
  </si>
  <si>
    <t xml:space="preserve">Comparison of oral amoxicillin with placebo for the treatment of world health organization–de ned nonsevere pneumonia in children aged 2–59 months: a multicenter, double-blind, randomized, placebo-controlled trial in Pakistan. </t>
  </si>
  <si>
    <t>https://academic.oup.com/cid/article-abstract/52/3/293/305937</t>
  </si>
  <si>
    <t>Sulfonamides</t>
  </si>
  <si>
    <t>CXR or clinical signs</t>
  </si>
  <si>
    <t>3 months-12 years</t>
  </si>
  <si>
    <t>4 mg/kg Trimethoprim/Q12h and 20 mg/kg sulphamethoxazole</t>
  </si>
  <si>
    <t>8 mg/kg Trimethoprim/Q12h and 20 mg/kg sulphamethoxazole</t>
  </si>
  <si>
    <t>Randomized controlled trial of standard versus double dose cotrimoxazole for childhood pneumonia in Pakistan</t>
  </si>
  <si>
    <t>https://pubmed.ncbi.nlm.nih.gov/15682244/</t>
  </si>
  <si>
    <t>https://pubmed.ncbi.nlm.nih.gov/11827905/</t>
  </si>
  <si>
    <t>https://academic.oup.com/jac/article/47/4/441/821546</t>
  </si>
  <si>
    <t xml:space="preserve">https://doi.org/10.1016/S0140-6736(02)09994-4 </t>
  </si>
  <si>
    <t>45mg/kg/d</t>
  </si>
  <si>
    <t>90mg/kg/d</t>
  </si>
  <si>
    <t>31-54 mg/kg/Q8h</t>
  </si>
  <si>
    <t>7-11 mg/kg/d</t>
  </si>
  <si>
    <t>31-51 mg/kg/d</t>
  </si>
  <si>
    <t>4 mg/kg Trimethoprim/Q12h and 20mg/kg sulphamethoxazole</t>
  </si>
  <si>
    <t>25 mg/kg/Q12h</t>
  </si>
  <si>
    <t>10mg/kg/d</t>
  </si>
  <si>
    <t>45/11.25 mg/kg/d</t>
  </si>
  <si>
    <t>Ramirez, 1999</t>
  </si>
  <si>
    <t>Sparfloxacin versus clarithromycin in the treatment of community-acquired pneumonia</t>
  </si>
  <si>
    <t>https://www.sciencedirect.com/science/article/pii/S0149291800882715</t>
  </si>
  <si>
    <t>CXR and clinical signs</t>
  </si>
  <si>
    <t>https://www.sciencedirect.com/science/article/pii/S1684118217301512</t>
  </si>
  <si>
    <t>Safety and efficacy of oral nemonoxacin versus levofloxacin in treatment of community-acquired pneumonia: A phase 3, multicenter, randomized, double-blind, double-dummy, active-controlled, non-inferiority trial</t>
  </si>
  <si>
    <t>WBC&gt;10000 count and clinical syntoms (at least 3)</t>
  </si>
  <si>
    <t>Zhang,2006</t>
  </si>
  <si>
    <t>Lee,2012</t>
  </si>
  <si>
    <t>Lopez-vejar, 2013</t>
  </si>
  <si>
    <t>Izadi,2018</t>
  </si>
  <si>
    <t>Yang,2009</t>
  </si>
  <si>
    <t>Liu,2010</t>
  </si>
  <si>
    <t>Han,2010</t>
  </si>
  <si>
    <t>Zhao,2007</t>
  </si>
  <si>
    <t>Shao,2008</t>
  </si>
  <si>
    <t>Li,2009</t>
  </si>
  <si>
    <t>Huang,2008</t>
  </si>
  <si>
    <t>Gao,2009</t>
  </si>
  <si>
    <t>Gao</t>
  </si>
  <si>
    <t>Huang</t>
  </si>
  <si>
    <t>Li</t>
  </si>
  <si>
    <t>Shao</t>
  </si>
  <si>
    <t>Han</t>
  </si>
  <si>
    <t>Yang</t>
  </si>
  <si>
    <t>Izadi</t>
  </si>
  <si>
    <t>Zhang</t>
  </si>
  <si>
    <t>https://pubmed.ncbi.nlm.nih.gov/30360748/</t>
  </si>
  <si>
    <t>Levofloxacin Versus Ceftriaxone and Azithromycin Combination in the Treatment of Community Acquired Pneumonia in Hospitalized Patients</t>
  </si>
  <si>
    <t>https://link.springer.com/article/10.1007/BF03261911</t>
  </si>
  <si>
    <t>High-Dose Levofloxacin in Community-Acquired Pneumonia</t>
  </si>
  <si>
    <t>https://www.medigraphic.com/cgi-bin/new/resumenI.cgi?IDARTICULO=46755</t>
  </si>
  <si>
    <t>Efficacy of Levofloxacin in the Treatment of Community- Acquired Pneumonia</t>
  </si>
  <si>
    <t>Eﬃcacy and cost-effectiveness analysis of moxifloxacin hydrochloride and combination of ceftriaxone sodium with azithromycin in the treatment of moderate to severe community acquired pneumonia in elderly patients.</t>
  </si>
  <si>
    <t>A comparison between levofloxacin and cefuroxime with azithromycin in community-acquired pneumonia.</t>
  </si>
  <si>
    <t>Comparison of moxifloxacin and cefuroxime combined with azithromycin for patients with community-acquired pneumonia</t>
  </si>
  <si>
    <t>A comparison of levofloxacin alone and cefuroxime combined with azithromycin for patients with community-acquired pneumonia.</t>
  </si>
  <si>
    <t>A randomized controlled multicentre clinical trial of levofloxacin sequential therapy compared with combination therapy with cefuroxime and azithromycin in patients with community-acquired pneumonia.</t>
  </si>
  <si>
    <t>Clinical eﬃcacy of moxifloxacin in the treatment of Mycoplasma pneumonia</t>
  </si>
  <si>
    <t>Clinical observation of moxifloxacin versus ceftriaxone combined with azithromycin in the treatment of community acquired pneumonia</t>
  </si>
  <si>
    <t xml:space="preserve">Sequential moxifloxacin therapy in the treatment of elderly patients with community-acquired pneumonia: clinical evaluation. </t>
  </si>
  <si>
    <t>Multicentre clinical study on levofloxacin intravenous injection for treatment of community-acquired pneumonia</t>
  </si>
  <si>
    <t>300mg/d</t>
  </si>
  <si>
    <t>1g/d+500mg/d</t>
  </si>
  <si>
    <t>Clinical judgement and PSI score</t>
  </si>
  <si>
    <t>Iran</t>
  </si>
  <si>
    <t>Clinical judgements, PSI&gt;=3, CURB&gt;=65</t>
  </si>
  <si>
    <t>1g/d IV+500mg/d PO</t>
  </si>
  <si>
    <t>1g/d IV, 250mgQ12h PO</t>
  </si>
  <si>
    <t>1g/d IV, 500mgQ12h PO</t>
  </si>
  <si>
    <t>Clnical judgements</t>
  </si>
  <si>
    <t>New pulmonary infiltration, two or more clinical symptoms of lower respiratory tract infection such as fever,new or intense dry or productive cough, abnormal pulmonary sounds (rales, wheezes)</t>
  </si>
  <si>
    <t>2g/d+500mg/d</t>
  </si>
  <si>
    <t>3g/d+500mg/d</t>
  </si>
  <si>
    <t>10-14days</t>
  </si>
  <si>
    <t>2.25g/d IV +500mg IV</t>
  </si>
  <si>
    <t>1.5g/d IV+500mg/d PO</t>
  </si>
  <si>
    <t>2g/d IV+500mg/d PO</t>
  </si>
  <si>
    <t>Choi_b, 2023</t>
  </si>
  <si>
    <t>Harazim, 1987</t>
  </si>
  <si>
    <t>Bierman, 1988</t>
  </si>
  <si>
    <t>Charpin, 1988</t>
  </si>
  <si>
    <t>Wiesner, 1993</t>
  </si>
  <si>
    <t>Norrby, 1997</t>
  </si>
  <si>
    <t>Mokabberi, 2010</t>
  </si>
  <si>
    <t>Harazim</t>
  </si>
  <si>
    <t>Biermann</t>
  </si>
  <si>
    <t>Charpin</t>
  </si>
  <si>
    <t>Wiesner</t>
  </si>
  <si>
    <t>Austria</t>
  </si>
  <si>
    <t>Norway</t>
  </si>
  <si>
    <t>Germany</t>
  </si>
  <si>
    <t>Denmark, Finland, Iceland, Sweden, Norway</t>
  </si>
  <si>
    <t>Doxycycline</t>
  </si>
  <si>
    <t>Tetracycline</t>
  </si>
  <si>
    <t>200-400mg/d</t>
  </si>
  <si>
    <t>150mg/d</t>
  </si>
  <si>
    <t>100mg/d</t>
  </si>
  <si>
    <t>An open randomised comparison of ofloxacin and doxycycline in lower respiratory tract infections</t>
  </si>
  <si>
    <t>Comparison of spiramycin and doxycycline in the treatment of lower respiratory infections in general practice</t>
  </si>
  <si>
    <t>Multicentric study of efficiency and tolerance of roxithromycin compared to doxycycline in broncho-pulmonary infections.</t>
  </si>
  <si>
    <t>Twice daily dosing of erythromycin acistrate in the treatment of acute bronchitis and pneumonia</t>
  </si>
  <si>
    <t>Atypical pneumonia in the Nordic countries: aetiology and clinical results of a trial comparing fleroxacin and doxycycline.</t>
  </si>
  <si>
    <t>Doxycycline vs Levofloxacin in the treatment of community-acquired pneumonia</t>
  </si>
  <si>
    <t>https://link.springer.com/article/10.2165/00003495-198700341-00015</t>
  </si>
  <si>
    <t>https://academic.oup.com/jac/article-abstract/22/Supplement_B/155/714072#google_vignette</t>
  </si>
  <si>
    <t>https://europepmc.org/article/med/9145823</t>
  </si>
  <si>
    <t>https://onlinelibrary.wiley.com/doi/10.1111/j.1365-2710.2009.01073.x</t>
  </si>
  <si>
    <t>CAP diagnosis</t>
  </si>
  <si>
    <t>Publication bias [Cochrane, RoB risk tool]</t>
  </si>
  <si>
    <t>Low</t>
  </si>
  <si>
    <t>High</t>
  </si>
  <si>
    <t>Addo-Yobo, 2004</t>
  </si>
  <si>
    <t>Hazir, 2008</t>
  </si>
  <si>
    <t>Bari, 2011</t>
  </si>
  <si>
    <t>Patel, 2011</t>
  </si>
  <si>
    <t>Soofi, 2012</t>
  </si>
  <si>
    <t>Colombia, Ghana, India, Mexico, Pakistan, South Africa, Vietnam, and Zambia</t>
  </si>
  <si>
    <t>3-59months</t>
  </si>
  <si>
    <t>2-59months</t>
  </si>
  <si>
    <t>SMZ200-300mgTMP40-60mg</t>
  </si>
  <si>
    <t>80–90mg/kg/d</t>
  </si>
  <si>
    <t>45 mg/kg/d PO</t>
  </si>
  <si>
    <t>200000 IU/kg/d IV</t>
  </si>
  <si>
    <t>https://www.thelancet.com/journals/lancet/article/PIIS0140673608600719/abstract</t>
  </si>
  <si>
    <t>https://www.thelancet.com/journals/lancet/article/PIIS0140-6736(11)61140-9/abstract?pgtype=article&amp;contentCollection=meter-links-click&amp;referrer=&amp;module=meter-Links&amp;contentId=&amp;action=click&amp;mediaId=&amp;priority=true&amp;version=meter+at+null</t>
  </si>
  <si>
    <t>https://pubmed.ncbi.nlm.nih.gov/22285055/</t>
  </si>
  <si>
    <t>100mg/kg/d IV+ 80-90 mg/kg/day PO</t>
  </si>
  <si>
    <t>100mg/kg/d IV + 80-90 mg/kg/d PO</t>
  </si>
  <si>
    <t>Tellier, 2004</t>
  </si>
  <si>
    <t>Leophonte, 2002</t>
  </si>
  <si>
    <t>Siegel, 1999</t>
  </si>
  <si>
    <t>500mg/Q12h/d</t>
  </si>
  <si>
    <t>Anzueto, 2006</t>
  </si>
  <si>
    <t>Tang, 2010</t>
  </si>
  <si>
    <t>Shen, 2010</t>
  </si>
  <si>
    <t>Li, 2011</t>
  </si>
  <si>
    <t>Liu, 2012</t>
  </si>
  <si>
    <t>Feng, 2012</t>
  </si>
  <si>
    <t>Yang, 2014</t>
  </si>
  <si>
    <t>Zhang, 2014</t>
  </si>
  <si>
    <t>Yuan, 2014</t>
  </si>
  <si>
    <t>Guo, 2014</t>
  </si>
  <si>
    <t>Qiu, 2016</t>
  </si>
  <si>
    <t>Duan, 2016</t>
  </si>
  <si>
    <t>Zhao, 2016</t>
  </si>
  <si>
    <t>Han, 2016</t>
  </si>
  <si>
    <t>Chen, 2017</t>
  </si>
  <si>
    <t>Deng, 2017</t>
  </si>
  <si>
    <t>Zhao, 2018</t>
  </si>
  <si>
    <t>Li, 2019</t>
  </si>
  <si>
    <t>Mu, 2019</t>
  </si>
  <si>
    <t>Xiao, 2019</t>
  </si>
  <si>
    <t>Zhou, 2020</t>
  </si>
  <si>
    <t>Tang</t>
  </si>
  <si>
    <t>Shen</t>
  </si>
  <si>
    <t>Feng</t>
  </si>
  <si>
    <t>Qiu</t>
  </si>
  <si>
    <t>Duan</t>
  </si>
  <si>
    <t>Chen</t>
  </si>
  <si>
    <t>Deng</t>
  </si>
  <si>
    <t>Mu</t>
  </si>
  <si>
    <t>Xiao</t>
  </si>
  <si>
    <t>Zhou</t>
  </si>
  <si>
    <t>Confirmed diagnosis</t>
  </si>
  <si>
    <t>Clinical analysis of oral moxifloxacin in the treatment of outpatients with community-acquired pneumonia</t>
  </si>
  <si>
    <t xml:space="preserve">Clinical observation of levofloxacin in the treatment of community-acquired pneumonia (in Chinese). </t>
  </si>
  <si>
    <t xml:space="preserve">Comparative study on moxifloxacin versus levofloxacin in thetreatmentofcommunity-acquired pneumonia (in Chinese). </t>
  </si>
  <si>
    <t>Clinical observation of moxifloxacin and levofloxacin in the treatment of community-acquired pneumonia (in Chinese).</t>
  </si>
  <si>
    <t>Application of moxifloxacin sequentialtherapyinthetreatmentof community-acquired pneumonia (in Chinese).</t>
  </si>
  <si>
    <t>Lin 2020</t>
  </si>
  <si>
    <t>Efficacy and prognosis of moxifloxacin injection in the treatment of community-acquired pneunomia</t>
  </si>
  <si>
    <t>Clinical observation of moxifloxacin and levofloxacin in the treatment of community-acquired pneumonia</t>
  </si>
  <si>
    <t>Analysis of treatment regimen of community-acquired pneumonia among elderly</t>
  </si>
  <si>
    <t>Efficacy and safety of moxifloxacin in the treatment of community-acquired pneumonia among elderly</t>
  </si>
  <si>
    <t>Efficacy and safety of moxifloxacin in the treatment of community-acquired pneumonia</t>
  </si>
  <si>
    <t>Clinical study of moxifloxacin in the treatment of elderly patients with community-acquired pneumonia</t>
  </si>
  <si>
    <t>Efficacy and safety moxifloxacin sequential therapy in the treatment of community-acquired pneumonia among elderly</t>
  </si>
  <si>
    <t>Efficacy of moxifloxacin in the treatment of community-acquired pneumonia among elderly</t>
  </si>
  <si>
    <t xml:space="preserve"> Disease characteristics and management of hospitalised adolescents and adults with community-acquired pneumonia in China: a retrospective multicentre survey.</t>
  </si>
  <si>
    <t>Efficacy of moxifloxacin sequential therapy in the treatment of community-acquired pneumonia among elderly</t>
  </si>
  <si>
    <t xml:space="preserve">Clinical observation of moxifloxacin and levofloxacin sequential therapy in the treatment of community-acquired pneumonia among elderly </t>
  </si>
  <si>
    <t>Efficacy of moxifloxacin in the treatment of community-acquired pneumonia and its effect on pulmonary function among elderly</t>
  </si>
  <si>
    <t>Clinical study on sequential therapy of moxifloxacin and levofloxacin in elderly patients with community-acquired pneumonia</t>
  </si>
  <si>
    <t xml:space="preserve">Efficacy of moxifloxacin sequential therapy of community-acquired pneumonia (CAP) and its effect on pulmonary function and inflammatory cytokines level </t>
  </si>
  <si>
    <t>Clinical observation of moxifloxacin in the treatment of community-acquired pneumonia</t>
  </si>
  <si>
    <t>Community-acquired pneumonia recovery in the elderly (CAPRIE): Efficacy and safety of moxifloxacin therapy versus that of levofloxacin therapy.</t>
  </si>
  <si>
    <t>100ml/Q12h/d</t>
  </si>
  <si>
    <t>400mg/d IV PO</t>
  </si>
  <si>
    <t>250-500mg/d IV PO</t>
  </si>
  <si>
    <t>400mg/d PO</t>
  </si>
  <si>
    <t>100mg/Q12h/d IV</t>
  </si>
  <si>
    <t>500mg/d IV</t>
  </si>
  <si>
    <t>200-500mg/d IV PO</t>
  </si>
  <si>
    <t>200mg/d IV PO</t>
  </si>
  <si>
    <t>500mg/d IV PO</t>
  </si>
  <si>
    <t>Cassel, 1991</t>
  </si>
  <si>
    <t>Cassel</t>
  </si>
  <si>
    <t>250-500mg/Q6h/d</t>
  </si>
  <si>
    <t>250-500mg/Q12h/d</t>
  </si>
  <si>
    <t>Efficacy of clarithromycin against Mycoplasma pneumoniae</t>
  </si>
  <si>
    <t>https://academic.oup.com/jac/article-abstract/27/suppl_A/47/822301</t>
  </si>
  <si>
    <t>(a) pretreatment chest X-ray confirming the presence of pneumonia and (b) history of cough and fever</t>
  </si>
  <si>
    <t>Dinh, 2021</t>
  </si>
  <si>
    <t>Dinh</t>
  </si>
  <si>
    <t>Discontinuing β-lactam treatment after 3 days for patients with community-acquired pneumonia in non-critical care wards (PTC): a double-blind, randomised, placebo-controlled, non-inferiority trial</t>
  </si>
  <si>
    <t>https://www.thelancet.com/journals/lancet/article/PIIS0140-6736(21)00313-5/abstract</t>
  </si>
  <si>
    <t>Stralin, 2014</t>
  </si>
  <si>
    <t>500mg62.5mg/Q8h/d</t>
  </si>
  <si>
    <t>Presence of at least one acute clinical sign compatible with pneumonia (eg, dyspnoea, cough, purulent sputum, or crackles), temperature above 38°C in the 48 h before admission to hospital, and a new pulmonary infiltrate on chest x-ray or CT scan (on day 0 or within 3 days of admission to hospital).</t>
  </si>
  <si>
    <t>Bielicki, 2021</t>
  </si>
  <si>
    <t>Ginsburg, 2020</t>
  </si>
  <si>
    <t>Gomez Campdera, 1996</t>
  </si>
  <si>
    <t>Greenberg, 2014</t>
  </si>
  <si>
    <t>Harris, 1998</t>
  </si>
  <si>
    <t>Kartasasmita, 2003</t>
  </si>
  <si>
    <t>Kogan,2003</t>
  </si>
  <si>
    <t>Pernica, 2021</t>
  </si>
  <si>
    <t>Ronchetti, 1994</t>
  </si>
  <si>
    <t>Roord, 1996</t>
  </si>
  <si>
    <t>Sadruddin, 2019</t>
  </si>
  <si>
    <t>Williams, 2022</t>
  </si>
  <si>
    <t>Wubbel, 1999</t>
  </si>
  <si>
    <t>Malawi</t>
  </si>
  <si>
    <t>6-59months</t>
  </si>
  <si>
    <t>0-16years</t>
  </si>
  <si>
    <t>0-10years</t>
  </si>
  <si>
    <t>2-16years</t>
  </si>
  <si>
    <t>6-71months</t>
  </si>
  <si>
    <t>50mg/kg/d</t>
  </si>
  <si>
    <t>ISCAP</t>
  </si>
  <si>
    <t>Agarwal/ISCAP,2004</t>
  </si>
  <si>
    <t>https://pubmed.ncbi.nlm.nih.gov/32609979/</t>
  </si>
  <si>
    <t>Amoxicillin for 3 or 5 days for chest-indrawing pneumonia in Malawian children</t>
  </si>
  <si>
    <t>40-80mg/kg/Q12h/d</t>
  </si>
  <si>
    <t>WHO definition</t>
  </si>
  <si>
    <t>https://journals.lww.com/pidj/abstract/1998/10000/safety_and_efficacy_of_azithromycin_in_the.4.aspx</t>
  </si>
  <si>
    <t>Clinically suspected pneumonia based on a radiologic finding of an acute infiltrate and the presence of tachypnea (respiratory rate, &gt;24 breaths per min if &lt;2 years of age or &gt;20 breaths per min if ≥2 years of age).</t>
  </si>
  <si>
    <t>5-250mg/kg/d</t>
  </si>
  <si>
    <t>40-1500mg/kg/d</t>
  </si>
  <si>
    <t>Penicillin/Macrolide</t>
  </si>
  <si>
    <t>Fever, tachypea, diagnosis and chest radiography</t>
  </si>
  <si>
    <t>Presence of fever and pathologic auscultatory findings, and chest roentgenograms showed a new infiltrate.</t>
  </si>
  <si>
    <t>10-500mg/kg/d</t>
  </si>
  <si>
    <t>40mg/kg/d</t>
  </si>
  <si>
    <t>Presence of at least three ofthefollowingsymptoms:cough,tachypnea(respiratoryrate 20breathspermin), rectal or oral temperature of 38C, leukocytosis (leukocyte count 12 109/liter),chestfindingsatphysicalexaminationsuggestiveofLRTI(rales, rhonchi,orsignsofconsolidation),and/orabnormalchestX-raysuggestiveof LRTI</t>
  </si>
  <si>
    <t>Subjective fever or documented temperature 38.3 °C or higher in the preceding 24 hours, tachypnea (50 breaths per minute for those younger than 2 years and 40 breaths per minute for those 2 years and older), and severe cough.</t>
  </si>
  <si>
    <t>80-100mg/kg/d</t>
  </si>
  <si>
    <t>Miki</t>
  </si>
  <si>
    <t>Tieying</t>
  </si>
  <si>
    <t>Stets</t>
  </si>
  <si>
    <t>Kaidashov</t>
  </si>
  <si>
    <t>Kobayashi, 1984</t>
  </si>
  <si>
    <t>Miki, 1984</t>
  </si>
  <si>
    <t>Gleadhill, 1986</t>
  </si>
  <si>
    <t>Peterson, 1988</t>
  </si>
  <si>
    <t>Khan, 1989</t>
  </si>
  <si>
    <t>Chuard, 1989</t>
  </si>
  <si>
    <t>Vanderdonckt, 1990</t>
  </si>
  <si>
    <t>Hirata-Dulas, 1991</t>
  </si>
  <si>
    <t>Vogel, 1991</t>
  </si>
  <si>
    <t>Carbon, 1992</t>
  </si>
  <si>
    <t>Bohte, 1995</t>
  </si>
  <si>
    <t>Genne, 1997</t>
  </si>
  <si>
    <t>Rizzato, 1997</t>
  </si>
  <si>
    <t>Aubier, 1998</t>
  </si>
  <si>
    <t>Norrby, 1998</t>
  </si>
  <si>
    <t>Tremolieres, 1998</t>
  </si>
  <si>
    <t>Kalbermatter, 2000</t>
  </si>
  <si>
    <t>Leophonte, 2004</t>
  </si>
  <si>
    <t>Tremolieres, 2005</t>
  </si>
  <si>
    <t>Kohno, 2011</t>
  </si>
  <si>
    <t>Oldach, 2013</t>
  </si>
  <si>
    <t>Tieying, 2014</t>
  </si>
  <si>
    <t>Barrera, 2016</t>
  </si>
  <si>
    <t>Stets, 2019</t>
  </si>
  <si>
    <t>Alexander, 2019</t>
  </si>
  <si>
    <t>Llor, 2019</t>
  </si>
  <si>
    <t>Li, 2021</t>
  </si>
  <si>
    <t>Kaidashov, 2022</t>
  </si>
  <si>
    <t>Li, 2024</t>
  </si>
  <si>
    <t>Clinical phase III comparative study of intravenous levofloxacin and ceftriaxone in community-acquired pneumonia treatment</t>
  </si>
  <si>
    <t>A multicentre, randomised, double-blind,double-dummy, parallel-controlled, phase 3 clinical trial assessing the efficacy and safety of intravenous nemonoxacin malate vs. levofloxacin for community- acquired pneumonia in adult patients</t>
  </si>
  <si>
    <t>https://doi.org/10.1016/j.ijantimicag.2024.107235</t>
  </si>
  <si>
    <t>https://doi.org/10.1080/03007995.2021.1885362</t>
  </si>
  <si>
    <t>A randomized, controlled, multicenter clinical trial to evaluate the efficacy and safety of oral sitafloxacin versus moxifloxacin in adult patients with community-acquired pneumonia</t>
  </si>
  <si>
    <t>Efficacy and tolerability of a teicoplanin-ciprofloxacin combination in severe CAP</t>
  </si>
  <si>
    <t>Etiology and efficacy of anti-microbial treatment for community-acquired pneumonia in adults requiring hospital admission in Ukraine</t>
  </si>
  <si>
    <t>Ukraine</t>
  </si>
  <si>
    <t>https://pubmed.ncbi.nlm.nih.gov/35545995/</t>
  </si>
  <si>
    <t>Comparative study of the effectiveness of enoxacin and amoxicillin in bacterial pneumonia by a double blind method</t>
  </si>
  <si>
    <t>Omadacycline for community-acquired bacterial pneumonia</t>
  </si>
  <si>
    <t>https://www.nejm.org/doi/full/10.1056/NEJMoa1800201</t>
  </si>
  <si>
    <t>600mg/Q12h/d</t>
  </si>
  <si>
    <t>1000mg/Q8h/d</t>
  </si>
  <si>
    <t>1*10^6IU/Q6h/d</t>
  </si>
  <si>
    <t>500mg/Q6h/d</t>
  </si>
  <si>
    <t>13-15days</t>
  </si>
  <si>
    <t>Delafloxacin</t>
  </si>
  <si>
    <t>5-10days</t>
  </si>
  <si>
    <t>300mg/Q12h/d</t>
  </si>
  <si>
    <t>Total Pathogen + isolates</t>
  </si>
  <si>
    <t>1g/125mg/Q8h/d</t>
  </si>
  <si>
    <t>Gemifloxacin once daily for 7 days compared to amoxicillin/clavulanic acid thrice daily for 10 days for the treatment of community-acquired pneumonia of suspected pneumococcal origin</t>
  </si>
  <si>
    <t xml:space="preserve">1) chest X-ray revealed apparent signs of acute inflammatory infiltration within 48 h before administration of study drug; (2) presence of purulent sputum, i.e. containing at least 25 white blood cells (WBCs) and less than 10 squamous epithelial cells (SEC) per low power field (LPF) on direct smear and microscopic examination; (3) presence of fever </t>
  </si>
  <si>
    <t>100mg/Q12h/d</t>
  </si>
  <si>
    <t>(1) presence or worsening of cough,associated with purulent sputum; (2) dyspnoea or shortness of breath; (3) chest pain or discomfort; (4) fever (oral temperature ≥ 38.0°C, axillary temperature ≥ 37.5°C or tympanic temperature ≥ 38.5°C) or hypothermia (≤ 35°C); (5) signs of lung consolidation (abnormal findings on auscultation, such as bronchial breath sounds, and/or local moist rales); (6) white blood cell (WBC) count &gt; 9500/mm3 or &lt; 3500/mm3, neutrophils &gt; 75% (abnormal WBC/neutrophils were indispensable); AND new inflammatory exudation or infiltration consistent with acute pneumonia detected by chest X-ray examination or CT scan (from 2 days before signing the informed consent form to the day of first dose administration</t>
  </si>
  <si>
    <t>IV 1.6 million IU</t>
  </si>
  <si>
    <t>Cephalosporins</t>
  </si>
  <si>
    <t>Patients had to have at least 3 of the following signs and symptoms: cough with production of purulent sputum or a change in the character of the sputum consistent with a bacterial infection, dyspnea or tachypnea, chest pain due to pneumonia, fever (within 24 h prior to randomization), rales, and/or evidence of pulmonary consolidation.</t>
  </si>
  <si>
    <t xml:space="preserve"> Teicoplanin+ciprofloxacin</t>
  </si>
  <si>
    <t>https://link-springer-com.ezproxy-prd.bodleian.ox.ac.uk/article/10.2165/00044011-199714050-00001</t>
  </si>
  <si>
    <t>Glycopeptide/Fluoroquinolone</t>
  </si>
  <si>
    <t>Requirements: - Respiratory frequency &gt;30 breaths/minute at admission - Pa02 &lt;60mm Hg - Chest x-ray showing involvement of more than one lobe - Systolic blood pressure &lt;90mm Hg - Diastolic blood pressure &lt;60mm Hg - Urine output lower than 20 mllh, or total urine output &lt;80 ml/4 hours</t>
  </si>
  <si>
    <t>200-400mg/d IV + 200mg/Q12h/d PO</t>
  </si>
  <si>
    <t>Omadacycline</t>
  </si>
  <si>
    <t>Patients that had cough, purulent sputum production, dyspnea, or pleuritic chest pain; and if they had at least two abnormal vital signs, had at least one clinical sign or laboratory finding associated with community-acquired bacterial pneumonia, had radiologically confirmed pneumonia, and were characterized as being in Pneu- monia Severity Index (PSI) risk class II (limited to ≤15% of the patients who underwent randomization), III, or IV (PSI risk classes range from I toV.</t>
  </si>
  <si>
    <t>Watch/Access</t>
  </si>
  <si>
    <t>14-28days</t>
  </si>
  <si>
    <t>1g/Q8h/d</t>
  </si>
  <si>
    <t>Streptomagrin</t>
  </si>
  <si>
    <t>Community-acquired pneumonia defined by: recent onset of cough, sputum, fever, chest pain or dyspnea, chest X-ray showing a new pulmonary infiltrate, elevated WBC count, and no hospitalization within 2 weeks before onset (to exclude hospital-acquired).</t>
  </si>
  <si>
    <t>Enoxacin</t>
  </si>
  <si>
    <t>200mg/Q8h/d</t>
  </si>
  <si>
    <t>250mg/Q6h/d</t>
  </si>
  <si>
    <t>600mg/d</t>
  </si>
  <si>
    <t>100mg/Q8h/d</t>
  </si>
  <si>
    <t>CAP was defined as an acute illness with new pulmonary infiltrates on chest X-ray, compatible symptoms (e.g., cough, fever, purulent sputum, dyspnea, chest pain), and no recent hospitalization (≤14 days)</t>
  </si>
  <si>
    <t>Bonbehi, 2003</t>
  </si>
  <si>
    <t>D'Ignazio, 2005</t>
  </si>
  <si>
    <t>Fogarty, 2002</t>
  </si>
  <si>
    <t>Gotfried, 2002</t>
  </si>
  <si>
    <t>Hagberg, 2002</t>
  </si>
  <si>
    <t>Mathers Dunbar, 2004</t>
  </si>
  <si>
    <t>Van Zyl, 2002</t>
  </si>
  <si>
    <t>Rovira, 1999</t>
  </si>
  <si>
    <t>Sopena, 2004</t>
  </si>
  <si>
    <t>Rocha, 1999</t>
  </si>
  <si>
    <t>Mathers Dunbar</t>
  </si>
  <si>
    <t>Efficacy and Tolerability of Once-Daily Oral Telithromycin Compared with Clarithromycin for the Treatment of Community-Acquired Pneumonia in Adults</t>
  </si>
  <si>
    <t>Comparison of spiramycin and clarithromycin for community-acquired lower respiratory tract infections.</t>
  </si>
  <si>
    <t>Argentina, Mexico, South Africa, Spain, Turkey</t>
  </si>
  <si>
    <t>Patients with CAP verified by chest radiograph and at least 3 signs and symptoms of bacterial pneumonia</t>
  </si>
  <si>
    <t>875/125mg/Q12h/d</t>
  </si>
  <si>
    <t>1000mg/Q8h/day</t>
  </si>
  <si>
    <t>US, Canada</t>
  </si>
  <si>
    <t>Abnormal CXR, purulent sputum sample, and 2 or more typical clinical signs of CAP or elevated WBC</t>
  </si>
  <si>
    <t>Ambulatory</t>
  </si>
  <si>
    <t>US, Canada, Argentina, Chile</t>
  </si>
  <si>
    <t>Confirmed diagnosis of acute CAP with at least 2 typical symptoms or elevated WBC</t>
  </si>
  <si>
    <t>Abnormal CXR and 2 or more typical symptoms or elevated WBC</t>
  </si>
  <si>
    <t>Presence of fever, purulent mucus with new infiltrate on CX</t>
  </si>
  <si>
    <t>250mg/Q12h/d</t>
  </si>
  <si>
    <t>https://link.springer.com/article/10.2165/00044011-200323080-00001</t>
  </si>
  <si>
    <t>400mg/Q12h/d</t>
  </si>
  <si>
    <t>200mg/Q12h/d</t>
  </si>
  <si>
    <t>3MIU/Q12h/d</t>
  </si>
  <si>
    <t>A Randomized, Prospective Study of Pediatric Patients with Community-acquired Pneumonia Treated with Ceftaroline Versus Ceftriaxone</t>
  </si>
  <si>
    <t>Cannavino</t>
  </si>
  <si>
    <t>Blumer</t>
  </si>
  <si>
    <t>A Multicenter, Randomized, Observer-blinded, Active-controlled Study Evaluating the Safety and Effectiveness of Ceftaroline Compared with Ceftriaxone Plus Vancomycin in Pediatric Patients With Complicated Community-acquired Bacterial Pneumonia.</t>
  </si>
  <si>
    <t>&lt;18 years</t>
  </si>
  <si>
    <t>Cephalosporin+glycopeptide</t>
  </si>
  <si>
    <t>75mg/kg/d to 4g/Q12h/d</t>
  </si>
  <si>
    <t>75mg/kg/d to 4g/Q12h/d +15mg/kg/Q6h/d</t>
  </si>
  <si>
    <t>8-400mg/Q8h/d</t>
  </si>
  <si>
    <t>Cannavino, 2016</t>
  </si>
  <si>
    <t>Blumer, 2016</t>
  </si>
  <si>
    <t>Children were required to have: (1) fever (temperature &gt;38°C) or hypothermia (temperature &lt;35°C); (2) the presence of new infiltrate(s) consistent with bacterial pneumonia, including a new alveolar/lobar infiltrate or consolidation (based on imaging results); and (3) acute onset or worsening within the previous 5 days of at least 2 of the following 9 clinical signs and symptoms: cough, tachypnea, dyspnea, grunting, sputum production, chest pain, cyanosis, evidence of pneumonia with parenchymal consolidation and increased work of breathing.</t>
  </si>
  <si>
    <t>Poland, Spain and the United States, Bulgaria, Georgia, Greece, Hungary and Ukraine</t>
  </si>
  <si>
    <t>8-15days</t>
  </si>
  <si>
    <t>Dunbar, 2003</t>
  </si>
  <si>
    <t>USA, Georgia, Ukraine</t>
  </si>
  <si>
    <t>A diagnosis of CABP required presence of fever (temperature &gt;38°C) or hypothermia (temperature &lt;35°C), new pulmonary infiltrate(s) compatible with bacterial pneumonia based on diagnostic testing (eg, radiographic imaging), and one of the following: a typical respiratory pathogen isolated from a respiratory (eg, sputum, pleural fluid, deep bronchial or deep tracheal culture) or blood culture; leukocytosis (&gt;15,000 white blood cells/mm3, &gt;15% immature neutrophils [bands], regardless of total white blood cell count); leucopenia (&lt;4500 white blood cells/mm3); or hypoxemia (oxygen saturation &lt;92% on room air).</t>
  </si>
  <si>
    <t>Ashgar, 2008</t>
  </si>
  <si>
    <t>Penicillin and gentamicin therapy vs amoxicillin/clavulanate in severe hypoxemic pneumonia.</t>
  </si>
  <si>
    <t>Antibiotic treatment schemes for very severe community-acquired pneumonia in children: a randomized clinical study.</t>
  </si>
  <si>
    <t>Chloramphenicol versus benzylpenicillin and gentamicin for the treatment of severe pneumonia in children in Papua New Guinea: a randomised trial.</t>
  </si>
  <si>
    <t>Duke, 2002</t>
  </si>
  <si>
    <t>Bansal, 2006</t>
  </si>
  <si>
    <t>Ribeiro, 2011</t>
  </si>
  <si>
    <t>Cetinkaya, 2004</t>
  </si>
  <si>
    <t>Straus, 1998</t>
  </si>
  <si>
    <t>Atkinson, 2007</t>
  </si>
  <si>
    <t>Campbell, 1988</t>
  </si>
  <si>
    <t>Peltola, 2001</t>
  </si>
  <si>
    <t>Keeley, 1990</t>
  </si>
  <si>
    <t>Deivanayaga, 1996</t>
  </si>
  <si>
    <t>WHO defined very severe pneumonia</t>
  </si>
  <si>
    <t>Penicillin+Aminoglycoside</t>
  </si>
  <si>
    <t>200mg/kg/d +7.5mg/kg/d</t>
  </si>
  <si>
    <t>0-5years</t>
  </si>
  <si>
    <t>25mg/kg/Q6h/d</t>
  </si>
  <si>
    <t>50mg/kg/Q6h/d+7.5mg/kg/d</t>
  </si>
  <si>
    <t>Benzylpenicillin+gentamicin</t>
  </si>
  <si>
    <t>50000IU/kg/Q6h/d IV + 2.5mg/kg/Q8h/d IV</t>
  </si>
  <si>
    <t>15mg/kg/Q8h/d</t>
  </si>
  <si>
    <t>3-7days</t>
  </si>
  <si>
    <t>Penicillin+cephalosporins</t>
  </si>
  <si>
    <t>CAP was severe when tachypnea (respiratory frequency ≥ 60 mpm in those under 2 months old, ≥ 50 mpm in 2-month- to 1-year-olds, and ≥ 40 mpm in those between 1 and 5 years old) was accompanied by subcostal retractions, nostril flaring, or grunting.</t>
  </si>
  <si>
    <t>200mg/kg/Q6h/d+100mg/kg/Q12h/d</t>
  </si>
  <si>
    <t>100mg/kg/Q8h/d</t>
  </si>
  <si>
    <t>20mg/kg/d</t>
  </si>
  <si>
    <t>WHO criteria</t>
  </si>
  <si>
    <t>Pneumonia of acute onset of &lt; 2 weeks duration, diagnosed clinically and radiologically, from two medical units were included in the study</t>
  </si>
  <si>
    <t>100000units/Q8h/kg/d + 100mg/kg/Q8h/d</t>
  </si>
  <si>
    <t>0-4years</t>
  </si>
  <si>
    <t>3-8days</t>
  </si>
  <si>
    <t>Kinasewitz, 1991</t>
  </si>
  <si>
    <t>O'Doherty, 1998</t>
  </si>
  <si>
    <t>Rahav, 2004</t>
  </si>
  <si>
    <t>Schonwald, 1994</t>
  </si>
  <si>
    <t>Schonwald, 1990</t>
  </si>
  <si>
    <t>Brion, 1995</t>
  </si>
  <si>
    <t>150mg/Q12h/d</t>
  </si>
  <si>
    <t>500mg/Q8h/d</t>
  </si>
  <si>
    <t>Lupisan, 1999</t>
  </si>
  <si>
    <t>Chang, 2006</t>
  </si>
  <si>
    <t>Erard, 2004</t>
  </si>
  <si>
    <t>Lode, 2002</t>
  </si>
  <si>
    <t>Oral gemifloxacin versus sequential therapy with intravenous ceftriaxone/oral cefuroxime with or without a macrolide in the treatment of patients hospitalized with community-acquired pneumonia: a randomized, open-label, multicenter study of clinical eﬃcacy and tolerability.</t>
  </si>
  <si>
    <t>Ceftriaxone +- clarithromycin</t>
  </si>
  <si>
    <t>Cephalosporin+/-Macrolide</t>
  </si>
  <si>
    <t>2g/d +/- 500mg/Q12h/d</t>
  </si>
  <si>
    <t>Presence of a newly acquired pulmonary infiltrate on a chest radiograph compatible with pneumonia and at least one of the following symptoms or signs that developed within 48 h of admission: fever (&gt;38C), chills, dyspnoea, cough, sputum production, pleuritic chest pain, altered breath sounds, dull percussion sounds, bronchial rales or pleural rub</t>
  </si>
  <si>
    <t>2g/d + 500mg/Q12h/d</t>
  </si>
  <si>
    <t>2-21days</t>
  </si>
  <si>
    <t>Ceftriaxone+Cefuroxime</t>
  </si>
  <si>
    <t>Clinical and radiologic diagnosis of CAP</t>
  </si>
  <si>
    <t>US, Poland, Canada, Germany, Italy</t>
  </si>
  <si>
    <t>Block, 1995</t>
  </si>
  <si>
    <t>Sidal, 1995</t>
  </si>
  <si>
    <t>Carmargos, 1997</t>
  </si>
  <si>
    <t>Tsarouhas, 1998</t>
  </si>
  <si>
    <t>Mulholland, 1995</t>
  </si>
  <si>
    <t>Klein, 1995</t>
  </si>
  <si>
    <t>Jibril, 1989</t>
  </si>
  <si>
    <t>Aurangzeb, 2003</t>
  </si>
  <si>
    <t>Nogeova, 1997</t>
  </si>
  <si>
    <t>Sidal</t>
  </si>
  <si>
    <t xml:space="preserve">Trial of cotrimoxazole versus procaine penicillin G and benzathine penicillin + procaine penicillin G in the treatment of childhood pneumonia. </t>
  </si>
  <si>
    <t>0-14years</t>
  </si>
  <si>
    <t>Procaine penicillin G</t>
  </si>
  <si>
    <t>50000/kg/d</t>
  </si>
  <si>
    <t>Benzylpenicillin+Procaine penicillin G</t>
  </si>
  <si>
    <t>8mg/kg/d, 40mg/kg/d</t>
  </si>
  <si>
    <t>Chest Xray</t>
  </si>
  <si>
    <t>A chest radiograph and a clinical evaluation were performed and those with clinical and radiologic evidence of pneumonia were eligible for enrollment in the treatment trial.</t>
  </si>
  <si>
    <t>25mg/kg/Q8h/d</t>
  </si>
  <si>
    <t>40-60/200-300mg/Q12h/d</t>
  </si>
  <si>
    <t>https://pubmed.ncbi.nlm.nih.gov/2612203/</t>
  </si>
  <si>
    <t>2-12years</t>
  </si>
  <si>
    <t>250-500mg+62.5-12.5mg/Q8h/d</t>
  </si>
  <si>
    <t>250-500mg/Q8h/d</t>
  </si>
  <si>
    <t>Clinically confirmed CAP</t>
  </si>
  <si>
    <t>Clinically and radiologically confirmed</t>
  </si>
  <si>
    <t>1-12years</t>
  </si>
  <si>
    <t>Agweyu, 2015</t>
  </si>
  <si>
    <t>Oral Amoxicillin Versus Benzyl Penicillin for Severe Pneumonia Among Kenyan Children: A Pragmatic Randomized Controlled Noninferiority Trial</t>
  </si>
  <si>
    <t>50000IU/kg/Q6h/d</t>
  </si>
  <si>
    <t>40-45mg/kg/Q12h/d</t>
  </si>
  <si>
    <t>WHO criteria severe</t>
  </si>
  <si>
    <t>Van Rensburg, 2010</t>
  </si>
  <si>
    <t>Zuck</t>
  </si>
  <si>
    <t>Vogel</t>
  </si>
  <si>
    <t>Efficacy and tolerance of cefpodoxime proxetil compared with ceftriaxone in vulnerable patients with bronchopneumonia.</t>
  </si>
  <si>
    <t>Chan</t>
  </si>
  <si>
    <t>Oral versus intravenous antibiotics for community acquired lower respiratory tract infection in a general hospital: open randomised controlled trial.</t>
  </si>
  <si>
    <t>The use of oral temafloxacin compared with a parenteral cephalosporin in hospitalized patients with pneumonia.</t>
  </si>
  <si>
    <t>Antibiotic therapy in pneumonia: a comparative study of parenteral and oral administra- tion of penicillin</t>
  </si>
  <si>
    <t>Zuck, 1990</t>
  </si>
  <si>
    <t>Chan, 1995</t>
  </si>
  <si>
    <t>Fredlun, 1987</t>
  </si>
  <si>
    <t>≥64 years</t>
  </si>
  <si>
    <t>Castro-Guardiola, 2001</t>
  </si>
  <si>
    <t>1200mg/d</t>
  </si>
  <si>
    <t>Cefotaxime</t>
  </si>
  <si>
    <t>1g/d IM</t>
  </si>
  <si>
    <t>Fredlund</t>
  </si>
  <si>
    <t>Phenoxymethylpenicillin</t>
  </si>
  <si>
    <t>Germany, Netherlands</t>
  </si>
  <si>
    <t>Chest Xray for pneumonia + cough/fever/physical findings consistent with CAP diagnosis</t>
  </si>
  <si>
    <t>375mg/Q8h/d</t>
  </si>
  <si>
    <t>3.6mg/d, 375mg/Q8h/d after 3day</t>
  </si>
  <si>
    <t>Ireland</t>
  </si>
  <si>
    <t>1g/Q8h/d, after 3d 500mg/Q8h/d</t>
  </si>
  <si>
    <t>(a) a new or increasing cough productive of sputum and associated with other symptoms or signs of chest infection, including shortness of breath, wheeze, chest pain, or focal or diffuse signs on chest examination or radio- graphy, and (b) one or more constitutional symptoms, including fever, sweating, headache, and aches and pains.</t>
  </si>
  <si>
    <t>9g/d IV</t>
  </si>
  <si>
    <t>6g/d PO</t>
  </si>
  <si>
    <t>Sweden</t>
  </si>
  <si>
    <t>Seki</t>
  </si>
  <si>
    <t>A prospective, randomized, double-blind multicenter comparison of parenteral ertapenem and ceftriaxone for the treatment of hospitalized adults with community-acquired pneumonia</t>
  </si>
  <si>
    <t>https://www.clinicaltherapeutics.com/article/S0149-2918(02)80078-9/abstract</t>
  </si>
  <si>
    <t>https://www.jstage.jst.go.jp/article/internalmedicine/48/1/48_1_49/_pdf/-char/en</t>
  </si>
  <si>
    <t>https://academic.oup.com/jac/article/57/3/536/738033#google_vignette</t>
  </si>
  <si>
    <t>A Clinical Comparative Study of Piperacillin and Sulbactam/Ampicillin in Patients with Community-Acquired Bacterial Pneumonia</t>
  </si>
  <si>
    <t>A study evaluating the efficacy, safety, and tolerability of ertapenem versus ceftriaxone for the treatment of community-­ acquired pneumonia in adults.</t>
  </si>
  <si>
    <t>An open, randomised, multi-­ centre study comparing the safety and efficacy of sitafloxacin and imipenem/cilastatin in the intravenous treatment of hospitalised patients with pneumonia</t>
  </si>
  <si>
    <t>Quantitative assessment of chest radiographs to evaluate the efficacy of ceftazidime versus ceftriaxone in a randomized, double-­ blind study in adults with community-­ acquired pneumonia</t>
  </si>
  <si>
    <t>https://academic.oup.com/cid/article-abstract/34/8/1076/283024?redirectedFrom=fulltext&amp;login=false</t>
  </si>
  <si>
    <t>Dal Negro, 2002</t>
  </si>
  <si>
    <t>Feldman, 2001</t>
  </si>
  <si>
    <t>Ortiz-Ruiz, 2002</t>
  </si>
  <si>
    <t>Siquier, 2006</t>
  </si>
  <si>
    <t>Sun, 2014</t>
  </si>
  <si>
    <t>Vetter, 2002</t>
  </si>
  <si>
    <t>Seki, 2009</t>
  </si>
  <si>
    <t>1000mg/Q12h/d IM</t>
  </si>
  <si>
    <t>IM</t>
  </si>
  <si>
    <t>Clinical evidence and radiographic evidence of parenchymal involvement</t>
  </si>
  <si>
    <t>Clinical evidence of bacterial pneumonia, confirmed by a new infiltrate on chest X-ray plus ≥2 clinical/lab signs</t>
  </si>
  <si>
    <t>Sign/symptoms, x-ray, etc.</t>
  </si>
  <si>
    <t>2000/125mg/d</t>
  </si>
  <si>
    <t>875/125mg/d</t>
  </si>
  <si>
    <t>CAP clinical criteria</t>
  </si>
  <si>
    <t>Patients with aspiration risk factors including neurologic diseases, disturbance of consciousness, cerebrovascular accident, upper gastrointestinal mechanical injury or coughing or swallowing reflection positive.</t>
  </si>
  <si>
    <t>Fluroroquinolone+Nitromidazole</t>
  </si>
  <si>
    <t>X-ray CAP</t>
  </si>
  <si>
    <t>Piperacillin</t>
  </si>
  <si>
    <t>4g/d</t>
  </si>
  <si>
    <t>Ampicillin/Sulbactam</t>
  </si>
  <si>
    <t>Pneumonia occurs in the general population, affecting not only otherwise healthy individuals living ordinary social lives, but also the elderly and those with underlying diseases.</t>
  </si>
  <si>
    <t>Udupa, 2011</t>
  </si>
  <si>
    <t>Vacarezza, 2010</t>
  </si>
  <si>
    <t>Figuereido Mello, 2017</t>
  </si>
  <si>
    <t>Riaz, 2023</t>
  </si>
  <si>
    <t>Giamarelos-Bournoulis, 2025</t>
  </si>
  <si>
    <t>Hatipoglu 2010</t>
  </si>
  <si>
    <t>Riaz</t>
  </si>
  <si>
    <t>Giamarelos-Bournoulis</t>
  </si>
  <si>
    <t>Comparative effectiveness of ceftriaxone alone and in combination with clarithromycin for paediatric patients hospitalized with community acquired pneumonia.</t>
  </si>
  <si>
    <t>Clarithromycin for early anti-inflammatory responses in community-acquired pneumonia in Greece (ACCESS): a randomised, double-blind, placebo-controlled trial.</t>
  </si>
  <si>
    <t>Greece</t>
  </si>
  <si>
    <t>Ceftriaxone+Clarithromycin</t>
  </si>
  <si>
    <t>Etemadi, 2011</t>
  </si>
  <si>
    <t>Portier, 1996</t>
  </si>
  <si>
    <t>Vetter, 1997</t>
  </si>
  <si>
    <t>Vergis, 2000</t>
  </si>
  <si>
    <t xml:space="preserve"> Azithromycin vs cefuroxime plus erythromycin for empirical treatment of community-acquired pneumonia in hospitalized patients: a prospective randomized multicenter trial</t>
  </si>
  <si>
    <t xml:space="preserve"> Clarithromycin vs combined cefuroxime and erythromycin in the treatment of hospitalised community-acquired pneumonia patients—IV followed by oral</t>
  </si>
  <si>
    <t>Clinical diagnosis and chest radiograph</t>
  </si>
  <si>
    <t>https://link.springer.com/article/10.2165/00044011-199714060-00001</t>
  </si>
  <si>
    <t>1g/Q8h/d+200mg/Q12h/d</t>
  </si>
  <si>
    <t>Presence of fever &gt;38°C (but absence of fever was allowed in the elderly) associated with at least one of the following clinical signs or symptoms: cough, dyspnoea, rigors, purulent sputum (validated by &gt;25 leucocytes/ field, and &lt; 10 epithelial cells/field, in the x 100 microscopical examination). The chest X-ray had to demonstrate a new alveolar or patchy infiltrate suggestive of acute pneumonia.</t>
  </si>
  <si>
    <t>(1.5g/Q8h/d IV + 1g/Q8h/d IV) and then 500mg/d PO</t>
  </si>
  <si>
    <t>Europe, Canada</t>
  </si>
  <si>
    <t>Diagnosis of CAP was based upon radiological evidence together with clinical signs and symptoms consistent with CAP, including at least two of the following: cough, sputum colour or consistency indicative of an acute bacterial infection, pyrexia, development of or increase in chest discomfort/congestion, dyspnoea, crackles, wheeze or cyanosis,</t>
  </si>
  <si>
    <t>500mg/d IV for 205days then 500mg PO</t>
  </si>
  <si>
    <t>(750mg/Q8h/d IV 2-3 d ERY) and then 500mg/Q12h/d PO CEF</t>
  </si>
  <si>
    <t>X-ray CAP, or clinical sings, or elevated Whiet blood cell count</t>
  </si>
  <si>
    <t>Gaillat 1994</t>
  </si>
  <si>
    <t>Moola 1999</t>
  </si>
  <si>
    <t>Fogarty 1999</t>
  </si>
  <si>
    <t>Sokol 2002</t>
  </si>
  <si>
    <t>Nguyen 2005</t>
  </si>
  <si>
    <t>Nielsen 1993</t>
  </si>
  <si>
    <t>Alcacer 1993</t>
  </si>
  <si>
    <t>Oral empiric treatment of community-acquired pneumonia. A multicenter, double-blind, randomized study comparing sparfloxacin with roxithromycin. The Scandinavian Sparfloxacin Study Group</t>
  </si>
  <si>
    <t>Amoxiclav+erythromycin</t>
  </si>
  <si>
    <t>Penicillin+Fluoroquinolone</t>
  </si>
  <si>
    <t>3x10000000 U/Q6h/d +200mg/Q12h/d</t>
  </si>
  <si>
    <t>1g/Q6h/d+1g/Q8h/d</t>
  </si>
  <si>
    <t>Acute respiratory illness with clinical and radiologic evidence of unilobar or multilobar pulmonary consolidation associated with fever</t>
  </si>
  <si>
    <t>10-15days</t>
  </si>
  <si>
    <t>Ortqvist</t>
  </si>
  <si>
    <t>Ortqvist 1996</t>
  </si>
  <si>
    <t>Scandinavia</t>
  </si>
  <si>
    <t>600/d</t>
  </si>
  <si>
    <t>Chest radiograph confirming the presence of an acute pulmonary infiltrate consistent with a diagnosis of CAP</t>
  </si>
  <si>
    <t>Masia, 2017</t>
  </si>
  <si>
    <t>Sanchez, 2003</t>
  </si>
  <si>
    <t>Brion, 1990</t>
  </si>
  <si>
    <t>Wasserfallen, 2004</t>
  </si>
  <si>
    <t>Bhavnani, 2007</t>
  </si>
  <si>
    <t>Carratala</t>
  </si>
  <si>
    <t>Outpatient care compared with hospitalization for community-acquired pneumonia: a randomized trial in low-risk patients</t>
  </si>
  <si>
    <t>500mg/d PO</t>
  </si>
  <si>
    <t>Community-acquired pneumonia was defined as the presence of a new infiltrate on chest radiography plus at least 1 of the following: fever (temperature 38.0 °C) or hypothermia (temperature 35.0 °C), new cough with or without sputum production, pleuritic chest pain, dyspnea, or altered breath sounds on auscultation.</t>
  </si>
  <si>
    <t>Carratala, 2005</t>
  </si>
  <si>
    <t>Geijo-Martinez,2002</t>
  </si>
  <si>
    <t>400mg/d IV and 800mg/d PO</t>
  </si>
  <si>
    <t>400mg/d IV and switch 400mg/d PO</t>
  </si>
  <si>
    <t>File Jr</t>
  </si>
  <si>
    <t>SOLITAIRE-IV: A Randomized, Double-Blind, Multicenter Study Comparing the Efficacy and Safety of Intravenous-to-Oral Solithromycin to Intravenous-to-Oral Moxifloxacin for Treatment of Community-Acquired Bacterial Pneumonia</t>
  </si>
  <si>
    <t>Clinically and radiographically confirmed pneumonia of Pneumonia Outcomes Research Team (PORT)</t>
  </si>
  <si>
    <t>File Jr, 2016</t>
  </si>
  <si>
    <t>File 2001</t>
  </si>
  <si>
    <t>Jardim, 2003</t>
  </si>
  <si>
    <t>Torres, 2003</t>
  </si>
  <si>
    <t>Amoxicillin+/- Clarithromycin</t>
  </si>
  <si>
    <t>1000mg/Q8h/d +/- 500mg/Q12h/d</t>
  </si>
  <si>
    <t>CAP clinically documented by the presence of fever, an elevated white blood cell count and signs</t>
  </si>
  <si>
    <t>Jehan, 2020</t>
  </si>
  <si>
    <t>Ahmed, 2022</t>
  </si>
  <si>
    <t>Awasthi, 2008b</t>
  </si>
  <si>
    <t>Rajesh, 2013</t>
  </si>
  <si>
    <t>Salih, 2016</t>
  </si>
  <si>
    <t>Assessment of treatment of community acquired severe pneumonia by two different antibiotics</t>
  </si>
  <si>
    <t>Higuera, 1996</t>
  </si>
  <si>
    <t>Baumgartner, 1984</t>
  </si>
  <si>
    <t>Roson, 2001</t>
  </si>
  <si>
    <t>Muller</t>
  </si>
  <si>
    <t>Mouton, 1991</t>
  </si>
  <si>
    <t>Muller, 1992</t>
  </si>
  <si>
    <t>Leueberger, 1983</t>
  </si>
  <si>
    <t>Comparative study of levofloxacin and amoxycillin/clavulanic acid in adults with mild-to-moderate community-acquired pneumonia</t>
  </si>
  <si>
    <t>Carbon, 1999</t>
  </si>
  <si>
    <t>Oh, 1996</t>
  </si>
  <si>
    <t>Sanchez, 1998</t>
  </si>
  <si>
    <t>Yaqub, 2005</t>
  </si>
  <si>
    <t>Salih</t>
  </si>
  <si>
    <t>Leueberger</t>
  </si>
  <si>
    <t>Sudan</t>
  </si>
  <si>
    <t>USA, Latin America</t>
  </si>
  <si>
    <t>Multinational</t>
  </si>
  <si>
    <t>Fast-breathing pneumonia: respiratory rate of &gt;50 breaths/min. Children were screened by LHWs and validated by the study by CHWs within 48 hours (community based trial).</t>
  </si>
  <si>
    <t>Severe CAP according to WHO definition</t>
  </si>
  <si>
    <t>500-1000mg/Q12h/d</t>
  </si>
  <si>
    <t>250mg/5ml/d</t>
  </si>
  <si>
    <t>200mg/d T+ 40mg/5ml/dS</t>
  </si>
  <si>
    <t>31-54mg/kg/Q8h/d</t>
  </si>
  <si>
    <t>40mg/kg/Q8h/d</t>
  </si>
  <si>
    <t>8mg/kg/Q12h/d</t>
  </si>
  <si>
    <t>0-60months</t>
  </si>
  <si>
    <t>500mg/125mg/Q8h/d</t>
  </si>
  <si>
    <t>2g/200mg/Q8h/d</t>
  </si>
  <si>
    <t>625mg/Q8h/d</t>
  </si>
  <si>
    <t>500mg//d</t>
  </si>
  <si>
    <t>750mg/Q8h/d</t>
  </si>
  <si>
    <t>Carbacephem</t>
  </si>
  <si>
    <t>1.2g/Q8h/d IV then 625mg/Q8h/d PO</t>
  </si>
  <si>
    <t>1-2g/d</t>
  </si>
  <si>
    <t>D1_Q1_random_sequence_random</t>
  </si>
  <si>
    <t>D1_Q2_allocation_concealed</t>
  </si>
  <si>
    <t>D1_Q3_no_problem_randomization</t>
  </si>
  <si>
    <t>D2_Q1_participants_unaware</t>
  </si>
  <si>
    <t>D2_Q2_carers_unaware</t>
  </si>
  <si>
    <t>D2_Q3_no_deviations_from_trial_context</t>
  </si>
  <si>
    <t>D2_Q4_deviations_unlikely_affect_outcome</t>
  </si>
  <si>
    <t>D2_Q5_deviations_balanced_between_groups</t>
  </si>
  <si>
    <t>D2_Q6_appropriate_effect_of_assignment_analysis</t>
  </si>
  <si>
    <t>D2_Q7_no_material_impact_of_inappropriate_analysis</t>
  </si>
  <si>
    <t>D3_Q1_outcome_data_complete_or_nearly_all</t>
  </si>
  <si>
    <t>D3_Q2_result_not_biased_by_missing</t>
  </si>
  <si>
    <t>D3_Q3_missingness_not_depends_on_true_value</t>
  </si>
  <si>
    <t>D3_Q4_missingness_unlikely_to_depend_on_true_value</t>
  </si>
  <si>
    <t>D4_Q1_measurement_method_appropriate</t>
  </si>
  <si>
    <t>D4_Q2_measurement_consistent_between_groups</t>
  </si>
  <si>
    <t>D4_Q3_assessors_unaware</t>
  </si>
  <si>
    <t>D4_Q4_assessment_not_influenced_by_knowledge</t>
  </si>
  <si>
    <t>D4_Q5_influence_on_assessment_unlikely</t>
  </si>
  <si>
    <t>D5_Q1_prespecified_analysis_plan_before_unblinding</t>
  </si>
  <si>
    <t>D5_Q2_no_multiple_eligible_outcome_measurements</t>
  </si>
  <si>
    <t>D5_Q3_no_multiple_eligible_analyses</t>
  </si>
  <si>
    <t>1</t>
  </si>
  <si>
    <t>0</t>
  </si>
  <si>
    <t>U</t>
  </si>
  <si>
    <t>Awasthib</t>
  </si>
  <si>
    <t>a</t>
  </si>
  <si>
    <t>b</t>
  </si>
  <si>
    <t>ID_armD</t>
  </si>
  <si>
    <t>Original sample size [EVENTS], control arm</t>
  </si>
  <si>
    <t>Original sample size  [EVENTS], treatment arm</t>
  </si>
  <si>
    <t>Antibiotic AWaRe classification, control arm</t>
  </si>
  <si>
    <t>Antibiotic class, control arm</t>
  </si>
  <si>
    <t>Antibiotic_durationS, control arm</t>
  </si>
  <si>
    <t>Antibiotic duration, control arm</t>
  </si>
  <si>
    <t>Dosis, control arm</t>
  </si>
  <si>
    <t>Antibiotic name, control arm</t>
  </si>
  <si>
    <t>Antibiotic class, treatment arm</t>
  </si>
  <si>
    <t>Antibiotic AWaRe classification, treatment arm</t>
  </si>
  <si>
    <t>Antibiotic_durationS, treatment arm</t>
  </si>
  <si>
    <t>Antibiotic duration, treatment arm</t>
  </si>
  <si>
    <t>Dosis, treatment arm</t>
  </si>
  <si>
    <t>Antibiotic name, treatment arm</t>
  </si>
  <si>
    <t>AMR treatment group, treatment arm</t>
  </si>
  <si>
    <t>AMR control group, control arm</t>
  </si>
  <si>
    <t>Antibiotic_durationS2, control arm</t>
  </si>
  <si>
    <t>Antibiotic_durationS2, treatment arm</t>
  </si>
  <si>
    <t>5-22days</t>
  </si>
  <si>
    <t>9-28days</t>
  </si>
  <si>
    <t>An open-label, randomized comparison of levofloxacin and amoxicillin/clavulanate plus clarithromycin for the treatment of hospitalized patients with community-acquired pneumonia.</t>
  </si>
  <si>
    <t>b-lactam monotherapy vs b-lactam-macrolide combination treatment in moderately severe community-acquired pneumonia: a randomized noninferiority trial.</t>
  </si>
  <si>
    <t>Hospital readmission, control arm</t>
  </si>
  <si>
    <t>serious adverse events, treatment arm</t>
  </si>
  <si>
    <t>Clinical cure PP, control arm</t>
  </si>
  <si>
    <t>Ceftriaxone or Cefuroxime</t>
  </si>
  <si>
    <t>Ceftriaxone+erythromycin</t>
  </si>
  <si>
    <t>Amoxiclav or ceftriaxone</t>
  </si>
  <si>
    <t>Ceftriaxone+azthromycin</t>
  </si>
  <si>
    <t>Cefuroxime+Azithromycin</t>
  </si>
  <si>
    <t>Ofloxacin</t>
  </si>
  <si>
    <t>Spiramycin</t>
  </si>
  <si>
    <t>Fleroxacin</t>
  </si>
  <si>
    <t>Amoxiclav/erythromycin</t>
  </si>
  <si>
    <t>Josamycin</t>
  </si>
  <si>
    <t xml:space="preserve">Levofloxacin </t>
  </si>
  <si>
    <t>Ceftriaxone+Vancomycin</t>
  </si>
  <si>
    <t>Penicillin+Chloramphenicol</t>
  </si>
  <si>
    <t>Continent</t>
  </si>
  <si>
    <t>Asia</t>
  </si>
  <si>
    <t>North America</t>
  </si>
  <si>
    <t>Multicontinent</t>
  </si>
  <si>
    <t>Africa</t>
  </si>
  <si>
    <t>South America</t>
  </si>
  <si>
    <t>Oceania</t>
  </si>
  <si>
    <t>Ceftriaxone+Sulbactam+EDTA</t>
  </si>
  <si>
    <t>Supplementary Excel File</t>
  </si>
  <si>
    <t>Impacts of antibiotic choice on community-acquired pneumonia: A Bayesian network meta-analysis of primary studies identified through an umbrella review</t>
  </si>
  <si>
    <t xml:space="preserve">Edited: </t>
  </si>
  <si>
    <t>What does it contain?</t>
  </si>
  <si>
    <t>1) BBDD: Dataset with all information on primary articles including outcomes and numbers</t>
  </si>
  <si>
    <t>2) PrimaryPapers_review: Cross-check of primary studies included per review to avoid duplication and to identify primary studies</t>
  </si>
  <si>
    <t>3) RoB-2: Quality assessment of the primary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</si>
</sst>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Aptos Narrow"/>
      <family val="2"/>
      <scheme val="minor"/>
    </font>
    <font>
      <sz val="12"/>
      <color theme="1"/>
      <name val="Times New Roman"/>
      <family val="1"/>
    </font>
    <font>
      <b/>
      <sz val="12"/>
      <color theme="1"/>
      <name val="Times New Roman"/>
      <family val="1"/>
    </font>
    <font>
      <b/>
      <sz val="13"/>
      <color theme="1"/>
      <name val="Times New Roman"/>
      <family val="1"/>
    </font>
    <font>
      <u/>
      <sz val="12"/>
      <color theme="10"/>
      <name val="Aptos Narrow"/>
      <family val="2"/>
      <scheme val="minor"/>
    </font>
    <font>
      <sz val="12"/>
      <color rgb="FF000000"/>
      <name val="Times New Roman"/>
      <family val="1"/>
    </font>
    <font>
      <sz val="12"/>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scheme val="minor"/>
    </font>
    <font>
      <sz val="16"/>
      <color theme="1"/>
      <name val="Aptos Narrow"/>
      <scheme val="minor"/>
    </font>
    <font>
      <sz val="20"/>
      <color theme="1"/>
      <name val="Aptos Narrow"/>
      <scheme val="minor"/>
    </font>
    <font>
      <b/>
      <sz val="20"/>
      <color theme="1"/>
      <name val="Aptos Narrow"/>
      <scheme val="minor"/>
    </font>
  </fonts>
  <fills count="1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theme="9"/>
        <bgColor indexed="64"/>
      </patternFill>
    </fill>
    <fill>
      <patternFill patternType="solid">
        <fgColor rgb="FFDAE9F8"/>
        <bgColor rgb="FF000000"/>
      </patternFill>
    </fill>
    <fill>
      <patternFill patternType="solid">
        <fgColor theme="3" tint="0.89999084444715716"/>
        <bgColor rgb="FF000000"/>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applyNumberFormat="0" applyFill="0" applyBorder="0" applyAlignment="0" applyProtection="0"/>
    <xf numFmtId="9" fontId="6" fillId="0" borderId="0" applyFont="0" applyFill="0" applyBorder="0" applyAlignment="0" applyProtection="0"/>
  </cellStyleXfs>
  <cellXfs count="67">
    <xf numFmtId="0" fontId="0" fillId="0" borderId="0" xfId="0"/>
    <xf numFmtId="0" fontId="1" fillId="0" borderId="0" xfId="0" applyFont="1" applyAlignment="1">
      <alignment horizont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left"/>
    </xf>
    <xf numFmtId="0" fontId="0" fillId="0" borderId="0" xfId="0" applyAlignment="1">
      <alignment horizontal="center"/>
    </xf>
    <xf numFmtId="0" fontId="1" fillId="0" borderId="0" xfId="0" applyFont="1"/>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0" fillId="2" borderId="0" xfId="0" applyFill="1"/>
    <xf numFmtId="0" fontId="2" fillId="8" borderId="0" xfId="0" applyFont="1" applyFill="1" applyAlignment="1">
      <alignment horizontal="center"/>
    </xf>
    <xf numFmtId="0" fontId="1" fillId="8" borderId="0" xfId="0" applyFont="1" applyFill="1" applyAlignment="1">
      <alignment horizontal="center"/>
    </xf>
    <xf numFmtId="0" fontId="1" fillId="8" borderId="0" xfId="0" applyFont="1" applyFill="1" applyAlignment="1">
      <alignment horizontal="left"/>
    </xf>
    <xf numFmtId="0" fontId="1" fillId="8" borderId="0" xfId="0" applyFon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xf>
    <xf numFmtId="0" fontId="1" fillId="8" borderId="0" xfId="0" applyFont="1" applyFill="1" applyAlignment="1">
      <alignment horizontal="left" wrapText="1"/>
    </xf>
    <xf numFmtId="0" fontId="1" fillId="8" borderId="0" xfId="0" applyFont="1" applyFill="1" applyAlignment="1">
      <alignment horizontal="left" vertical="top" wrapText="1"/>
    </xf>
    <xf numFmtId="0" fontId="1" fillId="8" borderId="0" xfId="0" applyFont="1" applyFill="1" applyAlignment="1">
      <alignment horizontal="left" vertical="top"/>
    </xf>
    <xf numFmtId="10" fontId="1" fillId="8" borderId="0" xfId="2" applyNumberFormat="1" applyFont="1" applyFill="1" applyAlignment="1">
      <alignment horizontal="center" vertical="center"/>
    </xf>
    <xf numFmtId="0" fontId="4" fillId="8" borderId="0" xfId="1" applyFill="1" applyAlignment="1">
      <alignment horizontal="left"/>
    </xf>
    <xf numFmtId="0" fontId="0" fillId="8" borderId="0" xfId="0" applyFill="1"/>
    <xf numFmtId="2" fontId="1" fillId="8" borderId="0" xfId="0" applyNumberFormat="1" applyFont="1" applyFill="1" applyAlignment="1">
      <alignment horizontal="center"/>
    </xf>
    <xf numFmtId="0" fontId="1" fillId="8" borderId="0" xfId="0" applyFont="1" applyFill="1" applyAlignment="1">
      <alignment horizontal="left" vertical="center"/>
    </xf>
    <xf numFmtId="0" fontId="0" fillId="2" borderId="0" xfId="0" applyFill="1" applyAlignment="1">
      <alignment textRotation="45"/>
    </xf>
    <xf numFmtId="0" fontId="0" fillId="9" borderId="0" xfId="0" applyFill="1"/>
    <xf numFmtId="0" fontId="2" fillId="9" borderId="0" xfId="0" applyFont="1" applyFill="1" applyAlignment="1">
      <alignment horizontal="center"/>
    </xf>
    <xf numFmtId="0" fontId="1" fillId="9" borderId="0" xfId="0" applyFont="1" applyFill="1" applyAlignment="1">
      <alignment horizontal="center"/>
    </xf>
    <xf numFmtId="0" fontId="1" fillId="9" borderId="0" xfId="0" applyFont="1" applyFill="1" applyAlignment="1">
      <alignment horizontal="left"/>
    </xf>
    <xf numFmtId="0" fontId="1" fillId="9" borderId="0" xfId="0" applyFont="1" applyFill="1" applyAlignment="1">
      <alignment horizontal="center" vertical="center"/>
    </xf>
    <xf numFmtId="10" fontId="1" fillId="9" borderId="0" xfId="2" applyNumberFormat="1" applyFont="1" applyFill="1" applyAlignment="1">
      <alignment horizontal="center" vertical="center"/>
    </xf>
    <xf numFmtId="0" fontId="0" fillId="9" borderId="0" xfId="0" applyFill="1" applyAlignment="1">
      <alignment horizontal="center" vertical="center"/>
    </xf>
    <xf numFmtId="0" fontId="0" fillId="9" borderId="0" xfId="0" applyFill="1" applyAlignment="1">
      <alignment horizontal="center"/>
    </xf>
    <xf numFmtId="0" fontId="7" fillId="2" borderId="0" xfId="0" applyFont="1" applyFill="1" applyAlignment="1">
      <alignment textRotation="45"/>
    </xf>
    <xf numFmtId="0" fontId="7" fillId="0" borderId="0" xfId="0" applyFont="1" applyAlignment="1">
      <alignment horizontal="center" vertical="center"/>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4" fillId="9" borderId="0" xfId="1" applyFill="1" applyAlignment="1">
      <alignment horizontal="left"/>
    </xf>
    <xf numFmtId="0" fontId="1" fillId="9" borderId="0" xfId="0" applyFont="1" applyFill="1" applyAlignment="1">
      <alignment horizontal="left" wrapText="1"/>
    </xf>
    <xf numFmtId="0" fontId="1" fillId="9" borderId="0" xfId="0" applyFont="1" applyFill="1" applyAlignment="1">
      <alignment horizontal="left" vertical="center"/>
    </xf>
    <xf numFmtId="1" fontId="1" fillId="9" borderId="0" xfId="0" applyNumberFormat="1" applyFont="1" applyFill="1" applyAlignment="1">
      <alignment horizontal="center" vertical="center"/>
    </xf>
    <xf numFmtId="1" fontId="1" fillId="9" borderId="0" xfId="2" applyNumberFormat="1" applyFont="1" applyFill="1" applyAlignment="1">
      <alignment horizontal="center" vertical="center"/>
    </xf>
    <xf numFmtId="1" fontId="1" fillId="8" borderId="0" xfId="2" applyNumberFormat="1" applyFont="1" applyFill="1" applyAlignment="1">
      <alignment horizontal="center" vertical="center"/>
    </xf>
    <xf numFmtId="1" fontId="1" fillId="8" borderId="0" xfId="0" applyNumberFormat="1" applyFont="1" applyFill="1" applyAlignment="1">
      <alignment horizontal="center" vertical="center"/>
    </xf>
    <xf numFmtId="0" fontId="1" fillId="8" borderId="0" xfId="0" applyFont="1" applyFill="1" applyAlignment="1">
      <alignment horizontal="left" vertical="center" wrapText="1"/>
    </xf>
    <xf numFmtId="49" fontId="1" fillId="9" borderId="0" xfId="0" applyNumberFormat="1" applyFont="1" applyFill="1" applyAlignment="1">
      <alignment horizontal="center"/>
    </xf>
    <xf numFmtId="0" fontId="1" fillId="9" borderId="0" xfId="0" applyFont="1" applyFill="1" applyAlignment="1">
      <alignment horizontal="left" vertical="top" wrapText="1"/>
    </xf>
    <xf numFmtId="0" fontId="5" fillId="12" borderId="0" xfId="0" applyFont="1" applyFill="1" applyAlignment="1">
      <alignment horizontal="center"/>
    </xf>
    <xf numFmtId="0" fontId="1" fillId="8" borderId="0" xfId="0" applyFont="1" applyFill="1" applyAlignment="1">
      <alignment vertical="top"/>
    </xf>
    <xf numFmtId="16" fontId="1" fillId="9" borderId="0" xfId="0" applyNumberFormat="1" applyFont="1" applyFill="1" applyAlignment="1">
      <alignment horizontal="center"/>
    </xf>
    <xf numFmtId="0" fontId="5" fillId="13" borderId="0" xfId="0" applyFont="1" applyFill="1" applyAlignment="1">
      <alignment horizontal="center"/>
    </xf>
    <xf numFmtId="0" fontId="2" fillId="2" borderId="0" xfId="0" applyFont="1" applyFill="1" applyAlignment="1">
      <alignment horizontal="center" vertical="center" wrapText="1"/>
    </xf>
    <xf numFmtId="0" fontId="8" fillId="0" borderId="2" xfId="0" applyFont="1" applyBorder="1" applyAlignment="1">
      <alignment horizontal="left" vertical="center" wrapText="1"/>
    </xf>
    <xf numFmtId="1" fontId="1" fillId="8" borderId="0" xfId="0" applyNumberFormat="1" applyFont="1" applyFill="1" applyAlignment="1">
      <alignment horizontal="center"/>
    </xf>
    <xf numFmtId="0" fontId="0" fillId="8" borderId="0" xfId="0" applyFill="1" applyAlignment="1">
      <alignment horizontal="left" vertical="center"/>
    </xf>
    <xf numFmtId="1" fontId="1" fillId="0" borderId="0" xfId="0" applyNumberFormat="1" applyFont="1" applyAlignment="1">
      <alignment horizontal="center"/>
    </xf>
    <xf numFmtId="164" fontId="0" fillId="0" borderId="0" xfId="2" applyNumberFormat="1" applyFont="1"/>
    <xf numFmtId="0" fontId="0" fillId="14" borderId="0" xfId="0" applyFill="1"/>
    <xf numFmtId="0" fontId="9" fillId="14" borderId="0" xfId="0" applyFont="1" applyFill="1"/>
    <xf numFmtId="0" fontId="10" fillId="14" borderId="0" xfId="0" applyFont="1" applyFill="1"/>
    <xf numFmtId="15" fontId="10" fillId="14" borderId="0" xfId="0" applyNumberFormat="1" applyFont="1" applyFill="1"/>
    <xf numFmtId="0" fontId="11" fillId="14" borderId="0" xfId="0" applyFont="1" applyFill="1"/>
    <xf numFmtId="0" fontId="12" fillId="14" borderId="0" xfId="0" applyFont="1" applyFill="1"/>
  </cellXfs>
  <cellStyles count="3">
    <cellStyle name="Hyperlink" xfId="1" builtinId="8"/>
    <cellStyle name="Normal" xfId="0" builtinId="0"/>
    <cellStyle name="Per cent" xfId="2" builtinId="5"/>
  </cellStyles>
  <dxfs count="0"/>
  <tableStyles count="0" defaultTableStyle="TableStyleMedium2" defaultPivotStyle="PivotStyleLight16"/>
  <colors>
    <mruColors>
      <color rgb="FFFFFD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llel, Kasim" id="{883505FB-1381-7849-BEC1-80BE97B42F79}" userId="S::uczllel@ucl.ac.uk::130d2d9d-f7ac-49ab-a148-fb06861723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1" dT="2025-05-03T12:42:33.69" personId="{883505FB-1381-7849-BEC1-80BE97B42F79}" id="{2F1D5D46-9C38-8349-97D4-79A985F2A2D3}">
    <text>Hospital? Primary care? Community-based?</text>
  </threadedComment>
  <threadedComment ref="BT1" dT="2025-08-29T13:44:40.60" personId="{883505FB-1381-7849-BEC1-80BE97B42F79}" id="{146DF1E4-A7FC-2346-88EF-914705EC1603}">
    <text>These are total isolates with positive isolates for pathogens (sometimes this number consider patients with multiple pathogens)</text>
  </threadedComment>
  <threadedComment ref="BZ1" dT="2025-08-20T16:08:47.75" personId="{883505FB-1381-7849-BEC1-80BE97B42F79}" id="{75AEB351-56EF-B947-821F-53728BDCCECD}">
    <text>C pneumoniae, M pneumoniae, Coxiella burnetii, Legionella spp.</text>
  </threadedComment>
  <threadedComment ref="S29" dT="2025-08-21T08:49:09.17" personId="{883505FB-1381-7849-BEC1-80BE97B42F79}" id="{D09AA3F6-49A2-0E4A-9329-48A550FC95EA}">
    <text>Ceftriaxone + sulbactam +EDTA</text>
  </threadedComment>
  <threadedComment ref="CB74" dT="2025-08-26T08:52:53.46" personId="{883505FB-1381-7849-BEC1-80BE97B42F79}" id="{B65AC19F-5ABA-FA41-A4DD-44335DEFA989}">
    <text>354 out of the S pneumoniae and H influenzae only: non susceptible to penicillin/ampicillin</text>
  </threadedComment>
</ThreadedComments>
</file>

<file path=xl/threadedComments/threadedComment2.xml><?xml version="1.0" encoding="utf-8"?>
<ThreadedComments xmlns="http://schemas.microsoft.com/office/spreadsheetml/2018/threadedcomments" xmlns:x="http://schemas.openxmlformats.org/spreadsheetml/2006/main">
  <threadedComment ref="AO7" dT="2025-09-02T12:09:32.22" personId="{883505FB-1381-7849-BEC1-80BE97B42F79}" id="{2A2DD5E7-FC85-EE47-9820-7D84D972CFFF}">
    <text>Not found</text>
  </threadedComment>
  <threadedComment ref="F9" dT="2025-08-20T14:08:46.70" personId="{883505FB-1381-7849-BEC1-80BE97B42F79}" id="{919C0092-D247-CB49-8A47-9E1DA4C9FE7C}">
    <text>No specific antibiotic evaluated</text>
  </threadedComment>
  <threadedComment ref="Z13" dT="2025-08-29T19:41:21.08" personId="{883505FB-1381-7849-BEC1-80BE97B42F79}" id="{AA35026C-CA6F-A941-BE63-5E3D2C9698A3}">
    <text>No outcomes, lack of results for our study</text>
  </threadedComment>
  <threadedComment ref="AE15" dT="2025-09-01T11:48:07.88" personId="{883505FB-1381-7849-BEC1-80BE97B42F79}" id="{848BDC74-13F8-004A-8DC3-66C3185AB9BD}">
    <text>Not found</text>
  </threadedComment>
  <threadedComment ref="AI21" dT="2025-09-02T17:43:20.08" personId="{883505FB-1381-7849-BEC1-80BE97B42F79}" id="{4DFDD7B7-F83D-DB47-86EA-AB12AC4C47EE}">
    <text>not found</text>
  </threadedComment>
  <threadedComment ref="AR23" dT="2025-09-02T13:02:07.77" personId="{883505FB-1381-7849-BEC1-80BE97B42F79}" id="{CB84D554-0176-CD41-9F4B-D7604989520C}">
    <text>Cost-effectiveness analysis using Lode et al 2002 data</text>
  </threadedComment>
  <threadedComment ref="R24" dT="2025-08-28T09:02:10.62" personId="{883505FB-1381-7849-BEC1-80BE97B42F79}" id="{00B3663A-396D-654D-ADDA-37151353DA7F}">
    <text>Different study design where 4 arms with different abx doses and durations are combined into two groups. We can not extract single dose/duration</text>
  </threadedComment>
  <threadedComment ref="V24" dT="2025-08-29T12:40:36.54" personId="{883505FB-1381-7849-BEC1-80BE97B42F79}" id="{185E7634-0449-B04D-AB20-80A001A76185}">
    <text>Different study design where 4 arms with different abx doses and durations are combined into two groups. We can not extract</text>
  </threadedComment>
  <threadedComment ref="AE26" dT="2025-09-01T09:41:18.89" personId="{883505FB-1381-7849-BEC1-80BE97B42F79}" id="{840F125D-758D-794C-8C13-E2AC487A2BBA}">
    <text>pathogen specific</text>
  </threadedComment>
  <threadedComment ref="AB32" dT="2025-09-01T07:46:09.00" personId="{883505FB-1381-7849-BEC1-80BE97B42F79}" id="{1F43DFB3-9CDB-994E-9387-1EB104CAB36C}">
    <text>Not found</text>
  </threadedComment>
  <threadedComment ref="Z33" dT="2025-08-29T19:41:25.86" personId="{883505FB-1381-7849-BEC1-80BE97B42F79}" id="{F86B74B5-2554-D94F-83F5-394762852F5B}">
    <text>No outcomes, lack of results for our study</text>
  </threadedComment>
  <threadedComment ref="AE37" dT="2025-09-01T09:57:37.28" personId="{883505FB-1381-7849-BEC1-80BE97B42F79}" id="{1ED31AE1-FAD3-204A-8118-8CE448E61B60}">
    <text>pathogen pseudo specific, not CAP-speicifc</text>
  </threadedComment>
  <threadedComment ref="AH40" dT="2025-09-01T13:16:52.84" personId="{883505FB-1381-7849-BEC1-80BE97B42F79}" id="{A45A4BC5-CE4E-4648-B745-74A2B6EA5DFB}">
    <text>unclear comparison groups</text>
  </threadedComment>
  <threadedComment ref="F42" dT="2025-08-20T15:59:15.57" personId="{883505FB-1381-7849-BEC1-80BE97B42F79}" id="{5DB6ED23-62EC-F34A-9FD7-337C41530402}">
    <text>posthoc analysis</text>
  </threadedComment>
  <threadedComment ref="Z43" dT="2025-08-29T19:25:17.06" personId="{883505FB-1381-7849-BEC1-80BE97B42F79}" id="{0994B38A-7DD8-AC42-A0A2-D09DD4C41A20}">
    <text>not clear CAP but pneumonia + lack of outcomes</text>
  </threadedComment>
  <threadedComment ref="AE43" dT="2025-09-01T09:03:11.08" personId="{883505FB-1381-7849-BEC1-80BE97B42F79}" id="{D66A4A37-C47C-BA40-9290-B6E1879A3F5A}">
    <text>See earlier comments</text>
  </threadedComment>
  <threadedComment ref="AD45" dT="2025-09-01T08:16:03.00" personId="{883505FB-1381-7849-BEC1-80BE97B42F79}" id="{8209395A-1516-344C-9058-DD3B5D273ACE}">
    <text>Could not get</text>
  </threadedComment>
  <threadedComment ref="U49" dT="2025-08-28T15:22:33.83" personId="{883505FB-1381-7849-BEC1-80BE97B42F79}" id="{4B06C0F9-9860-7144-A82F-083B8C1C0B8C}">
    <text>Not found</text>
  </threadedComment>
  <threadedComment ref="B52" dT="2025-08-18T18:17:41.05" personId="{883505FB-1381-7849-BEC1-80BE97B42F79}" id="{D24CB270-838A-DB4A-904A-4CDE15803A92}">
    <text>No number of patients per intervention group (abx group)</text>
  </threadedComment>
  <threadedComment ref="AN63" dT="2025-09-02T08:42:41.11" personId="{883505FB-1381-7849-BEC1-80BE97B42F79}" id="{A1E73767-0FE2-F14F-9330-C0F24CA3089E}">
    <text>Conference abstract:
https://publications.ersnet.org/content/erj/38/suppl55/p2558</text>
    <extLst>
      <x:ext xmlns:xltc2="http://schemas.microsoft.com/office/spreadsheetml/2020/threadedcomments2" uri="{F7C98A9C-CBB3-438F-8F68-D28B6AF4A901}">
        <xltc2:checksum>3558653600</xltc2:checksum>
        <xltc2:hyperlink startIndex="21" length="60" url="https://publications.ersnet.org/content/erj/38/suppl55/p2558"/>
      </x:ext>
    </extLst>
  </threadedComment>
  <threadedComment ref="AM67" dT="2025-09-01T19:06:39.93" personId="{883505FB-1381-7849-BEC1-80BE97B42F79}" id="{ECDE6E46-CB69-5E4B-944E-90D5A8F37274}">
    <text>patients with HIV</text>
  </threadedComment>
  <threadedComment ref="AU68" dT="2025-09-02T13:52:27.38" personId="{883505FB-1381-7849-BEC1-80BE97B42F79}" id="{D2AEEC64-AF66-4E42-925D-095266D12B08}">
    <text>Not found</text>
  </threadedComment>
  <threadedComment ref="F73" dT="2025-08-20T17:28:55.35" personId="{883505FB-1381-7849-BEC1-80BE97B42F79}" id="{B6320BDE-B3F5-A940-B6C0-689042D75D0D}">
    <text>Not included as File 2010 includes integrated analysis of FOCUS 1 and FOCUS 2 studies; so information is repeated</text>
  </threadedComment>
  <threadedComment ref="AO75" dT="2025-09-02T10:29:42.43" personId="{883505FB-1381-7849-BEC1-80BE97B42F79}" id="{0BBB24A9-248D-C549-A859-66C220BCABFC}">
    <text>Not found</text>
  </threadedComment>
  <threadedComment ref="F80" dT="2025-08-20T18:12:17.13" personId="{883505FB-1381-7849-BEC1-80BE97B42F79}" id="{5007A721-1C85-B047-8ABA-913AEF4B0F7E}">
    <text>This is pathogen-specific</text>
  </threadedComment>
  <threadedComment ref="AS84" dT="2025-09-02T13:12:24.82" personId="{883505FB-1381-7849-BEC1-80BE97B42F79}" id="{EBBFBB98-696C-2B4D-840A-AC66A52BB55B}">
    <text>not found</text>
  </threadedComment>
  <threadedComment ref="U88" dT="2025-08-28T15:39:29.83" personId="{883505FB-1381-7849-BEC1-80BE97B42F79}" id="{3482908E-D3F9-4641-9831-04BD1A3DDDD3}">
    <text>All respiratory diseases were combined, not CAP-focused</text>
  </threadedComment>
  <threadedComment ref="R89" dT="2025-08-28T09:15:04.16" personId="{883505FB-1381-7849-BEC1-80BE97B42F79}" id="{E39B2F08-DAF5-EA47-98B1-43F25C1A3EAD}">
    <text>Not found</text>
  </threadedComment>
  <threadedComment ref="AM99" dT="2025-09-01T19:18:22.39" personId="{883505FB-1381-7849-BEC1-80BE97B42F79}" id="{22FE56CC-99D0-694F-B167-40F9224B8519}">
    <text>not found
Apparently a poster:
https://channel.ersnet.org/media-61395-the-effect-of-addition-of-macrolide-to-a-beta-lactam-antibiotic-on-treatment-success-in-patients-with-moderately-severe-community-acquired-pneumonia</text>
    <extLst>
      <x:ext xmlns:xltc2="http://schemas.microsoft.com/office/spreadsheetml/2020/threadedcomments2" uri="{F7C98A9C-CBB3-438F-8F68-D28B6AF4A901}">
        <xltc2:checksum>3984834129</xltc2:checksum>
        <xltc2:hyperlink startIndex="31" length="187" url="https://channel.ersnet.org/media-61395-the-effect-of-addition-of-macrolide-to-a-beta-lactam-antibiotic-on-treatment-success-in-patients-with-moderately-severe-community-acquired-pneumonia"/>
      </x:ext>
    </extLst>
  </threadedComment>
  <threadedComment ref="U104" dT="2025-08-28T15:40:27.42" personId="{883505FB-1381-7849-BEC1-80BE97B42F79}" id="{824C8B85-81EE-E046-A944-666A210A91BE}">
    <text>Lower respiratory infections, not CAP-focused</text>
  </threadedComment>
  <threadedComment ref="F108" dT="2025-08-20T18:42:40.88" personId="{883505FB-1381-7849-BEC1-80BE97B42F79}" id="{0229BCA3-D5B8-A541-8AB8-B1CDCAFFBE21}">
    <text>Sub-study from the FOCUS study, File 2011. Duplicated data from a subgroup of the population</text>
  </threadedComment>
  <threadedComment ref="E109" dT="2025-08-20T09:40:00.81" personId="{883505FB-1381-7849-BEC1-80BE97B42F79}" id="{A9A7EC98-3129-0742-885E-D1C206C8040F}">
    <text>We could not get the text</text>
  </threadedComment>
  <threadedComment ref="U114" dT="2025-08-28T15:52:33.51" personId="{883505FB-1381-7849-BEC1-80BE97B42F79}" id="{F88976F7-47E9-CC4A-ACC2-6D0F0B86A054}">
    <text>Not found</text>
  </threadedComment>
  <threadedComment ref="R115" dT="2025-08-28T09:45:27.06" personId="{883505FB-1381-7849-BEC1-80BE97B42F79}" id="{90EE3AF8-3C5E-F34C-AC52-0A2B26805544}">
    <text>Not found</text>
  </threadedComment>
  <threadedComment ref="Z115" dT="2025-08-29T18:14:23.81" personId="{883505FB-1381-7849-BEC1-80BE97B42F79}" id="{D9CAE010-62B0-8946-BF9D-0CF5296936D7}">
    <text>See earlier comments to the left</text>
  </threadedComment>
  <threadedComment ref="C116" dT="2025-08-19T15:56:53.98" personId="{883505FB-1381-7849-BEC1-80BE97B42F79}" id="{1488FBAD-B09C-FD42-9852-FFA1735DBD09}">
    <text>one treatment arm combines several antibiotics all together</text>
  </threadedComment>
  <threadedComment ref="Z117" dT="2025-08-29T19:48:13.15" personId="{883505FB-1381-7849-BEC1-80BE97B42F79}" id="{DBDEDEAC-9DC8-2042-A191-E2FA5E174739}">
    <text>not CAP-focused, combination of pneumonias (nosocomial too as patients were transferred)</text>
  </threadedComment>
  <threadedComment ref="AE117" dT="2025-09-01T08:56:56.59" personId="{883505FB-1381-7849-BEC1-80BE97B42F79}" id="{86F016D0-D4BA-DF4E-86FF-2969988AC5AC}">
    <text>See earlier comments</text>
  </threadedComment>
  <threadedComment ref="U118" dT="2025-08-28T15:55:27.49" personId="{883505FB-1381-7849-BEC1-80BE97B42F79}" id="{30B391C6-45BC-5847-A86B-6397F1025C3E}">
    <text>It is for respiratory infections, CAP is mixed. even with hospital-acquired Pneumoniae</text>
  </threadedComment>
  <threadedComment ref="AE120" dT="2025-09-01T10:24:12.60" personId="{883505FB-1381-7849-BEC1-80BE97B42F79}" id="{0AD8A7F3-2A3C-6544-BA35-43C1D2397D8F}">
    <text>lower respiratory tract infections, not CAP-specific</text>
  </threadedComment>
  <threadedComment ref="U121" dT="2025-08-28T15:56:18.23" personId="{883505FB-1381-7849-BEC1-80BE97B42F79}" id="{9EEE08AB-0898-0641-BE14-8D114B2CD77C}">
    <text>IT is for respiratory tract infections, not CAP specific.</text>
  </threadedComment>
  <threadedComment ref="R122" dT="2025-08-28T09:51:50.15" personId="{883505FB-1381-7849-BEC1-80BE97B42F79}" id="{105188E7-63F2-FF4E-919B-6BDA2B35654C}">
    <text>No cure rates reported</text>
  </threadedComment>
  <threadedComment ref="AE122" dT="2025-09-01T08:55:11.89" personId="{883505FB-1381-7849-BEC1-80BE97B42F79}" id="{DC002B2E-D7D9-FE40-A9FB-5AD6EBCA164A}">
    <text>See earlier comments</text>
  </threadedComment>
  <threadedComment ref="F124" dT="2025-08-20T18:47:23.50" personId="{883505FB-1381-7849-BEC1-80BE97B42F79}" id="{35851739-E082-E24B-8845-0D8944056959}">
    <text>Patient had previous treatment of ampicillin/sulbactam</text>
  </threadedComment>
  <threadedComment ref="F129" dT="2025-08-20T19:00:39.32" personId="{883505FB-1381-7849-BEC1-80BE97B42F79}" id="{3A6BDDF0-A788-BB4B-B71D-28A1122AD0BB}">
    <text>poster presentation:
https://link.springer.com/article/10.1186/cc2697</text>
    <extLst>
      <x:ext xmlns:xltc2="http://schemas.microsoft.com/office/spreadsheetml/2020/threadedcomments2" uri="{F7C98A9C-CBB3-438F-8F68-D28B6AF4A901}">
        <xltc2:checksum>1288439056</xltc2:checksum>
        <xltc2:hyperlink startIndex="21" length="48" url="https://link.springer.com/article/10.1186/cc2697"/>
      </x:ext>
    </extLst>
  </threadedComment>
  <threadedComment ref="U131" dT="2025-08-28T16:06:25.01" personId="{883505FB-1381-7849-BEC1-80BE97B42F79}" id="{EA5FCD54-430D-DF47-8B61-A9E2457816C2}">
    <text>Not found</text>
  </threadedComment>
  <threadedComment ref="F147" dT="2025-08-21T08:06:40.39" personId="{883505FB-1381-7849-BEC1-80BE97B42F79}" id="{92BA9CA5-F285-7A4C-8E9B-FE99785C865E}">
    <text>Sub-analysis of the same trial FOCUS, which was previously integrated into one paper</text>
  </threadedComment>
  <threadedComment ref="S148" dT="2025-08-28T11:26:46.13" personId="{883505FB-1381-7849-BEC1-80BE97B42F79}" id="{0F1ECF8A-5620-044C-B177-A56B46550865}">
    <text>Not found</text>
  </threadedComment>
  <threadedComment ref="AQ151" dT="2025-09-02T12:20:43.76" personId="{883505FB-1381-7849-BEC1-80BE97B42F79}" id="{513D8D4B-5BFA-3B4C-8E4B-D718DECEADD4}">
    <text>non-randomized</text>
  </threadedComment>
  <threadedComment ref="AI156" dT="2025-09-02T18:13:28.70" personId="{883505FB-1381-7849-BEC1-80BE97B42F79}" id="{C0EE5386-3447-2D4B-B2A3-7C5C0C7145E4}">
    <text>Not found</text>
  </threadedComment>
  <threadedComment ref="AO160" dT="2025-09-02T09:44:27.20" personId="{883505FB-1381-7849-BEC1-80BE97B42F79}" id="{373E07A1-073A-924A-ADDA-DFB5AB4AF0A3}">
    <text>conference</text>
  </threadedComment>
  <threadedComment ref="AO162" dT="2025-09-02T12:08:42.55" personId="{883505FB-1381-7849-BEC1-80BE97B42F79}" id="{044B39D0-4B17-3243-BF2B-BFB7E01A5312}">
    <text>poster, conference</text>
  </threadedComment>
  <threadedComment ref="U165" dT="2025-08-29T08:30:44.54" personId="{883505FB-1381-7849-BEC1-80BE97B42F79}" id="{FC23294E-CB9E-CB41-BD50-D4EC1D7BEDA8}">
    <text>It is not CAP only, also nosocomial pneumonia</text>
  </threadedComment>
  <threadedComment ref="AI167" dT="2025-09-02T18:27:08.64" personId="{883505FB-1381-7849-BEC1-80BE97B42F79}" id="{3B559B0E-D2AC-084C-81C1-9FD2754D47FC}">
    <text>Not found</text>
  </threadedComment>
  <threadedComment ref="F169" dT="2025-08-21T09:54:29.28" personId="{883505FB-1381-7849-BEC1-80BE97B42F79}" id="{C76F15AC-7CFE-C344-BEC4-E53183ADA70B}">
    <text>No specific antibiotic strategy compared, but many aggregated into short and long duration courses</text>
  </threadedComment>
  <threadedComment ref="M173" dT="2025-08-26T10:18:00.75" personId="{883505FB-1381-7849-BEC1-80BE97B42F79}" id="{B36186CF-8FFE-2749-BEA9-FBEC7D44DB48}">
    <text>Not found, oral presentation:
https://www.nature.com/articles/pr2011240#:~:text=Conclusion%3A%20Home%20based%20treatment%20with,warrents%20inclusion%20in%20WHO%20recommendations.</text>
    <extLst>
      <x:ext xmlns:xltc2="http://schemas.microsoft.com/office/spreadsheetml/2020/threadedcomments2" uri="{F7C98A9C-CBB3-438F-8F68-D28B6AF4A901}">
        <xltc2:checksum>497111554</xltc2:checksum>
        <xltc2:hyperlink startIndex="30" length="147" url="https://www.nature.com/articles/pr2011240#:~:text=Conclusion%3A%20Home%20based%20treatment%20with,warrents%20inclusion%20in%20WHO%20recommendations"/>
      </x:ext>
    </extLst>
  </threadedComment>
  <threadedComment ref="Z174" dT="2025-08-29T19:44:08.77" personId="{883505FB-1381-7849-BEC1-80BE97B42F79}" id="{E6057AFB-D8CB-3C49-861D-48AFADF8F1E1}">
    <text>not CAP-focused</text>
  </threadedComment>
  <threadedComment ref="U177" dT="2025-08-28T12:16:49.24" personId="{883505FB-1381-7849-BEC1-80BE97B42F79}" id="{65266C06-27A4-564D-BFFE-53EE37A701CB}">
    <text>not CAP only, not clear RCT structure</text>
  </threadedComment>
  <threadedComment ref="F181" dT="2025-08-21T12:21:02.67" personId="{883505FB-1381-7849-BEC1-80BE97B42F79}" id="{B83CD47C-8D7E-5040-A5B1-D3E3DBFBEB37}">
    <text>combinations of antibiotics, not clear what they used specifically</text>
  </threadedComment>
  <threadedComment ref="K181" dT="2025-08-22T11:25:02.70" personId="{883505FB-1381-7849-BEC1-80BE97B42F79}" id="{E52D08E5-E452-3F46-B6B6-FB5FFE1AAB3B}">
    <text>See comment, column F</text>
  </threadedComment>
  <threadedComment ref="T181" dT="2025-08-28T11:31:45.48" personId="{883505FB-1381-7849-BEC1-80BE97B42F79}" id="{C768BCFE-F599-E74F-9AAC-B5C71BA5E6C6}">
    <text>See comment earlier</text>
  </threadedComment>
  <threadedComment ref="AB183" dT="2025-08-29T20:13:57.33" personId="{883505FB-1381-7849-BEC1-80BE97B42F79}" id="{AA9D9010-EB28-384E-B257-26EE23DE6C6F}">
    <text>comparator is multiple antibiotics, can not extract information</text>
  </threadedComment>
  <threadedComment ref="F186" dT="2025-08-21T12:23:07.36" personId="{883505FB-1381-7849-BEC1-80BE97B42F79}" id="{CF669075-D53A-E246-9F93-520DA39FA5A5}">
    <text>Same data as File 2010 for the integrated FOCUS 1 and FOCUS 2 studies</text>
  </threadedComment>
  <threadedComment ref="W196" dT="2025-08-29T14:57:55.64" personId="{883505FB-1381-7849-BEC1-80BE97B42F79}" id="{E8D22BD8-8B5B-6849-BDCF-96A9BE144BB9}">
    <text>not RCT</text>
  </threadedComment>
  <threadedComment ref="B197" dT="2025-08-19T10:25:54.99" personId="{883505FB-1381-7849-BEC1-80BE97B42F79}" id="{E6FDF16C-9327-E74A-83C0-4C17EF250A19}">
    <text>no comparison between strategies but only one strategy tested</text>
  </threadedComment>
  <threadedComment ref="AI200" dT="2025-09-02T18:28:59.19" personId="{883505FB-1381-7849-BEC1-80BE97B42F79}" id="{21BDBD94-E6F8-9543-807B-0A952BFC2BF8}">
    <text>Not found</text>
  </threadedComment>
  <threadedComment ref="AQ201" dT="2025-09-02T12:22:08.10" personId="{883505FB-1381-7849-BEC1-80BE97B42F79}" id="{25E1338D-D678-7748-A759-6BBEE0903393}">
    <text>non-randomized</text>
  </threadedComment>
  <threadedComment ref="W213" dT="2025-08-29T14:58:37.35" personId="{883505FB-1381-7849-BEC1-80BE97B42F79}" id="{7872F0C2-9CA8-FB43-AA8D-E9E7E3415384}">
    <text>This is a letter</text>
  </threadedComment>
  <threadedComment ref="AB213" dT="2025-08-29T20:07:45.75" personId="{883505FB-1381-7849-BEC1-80BE97B42F79}" id="{74599E5D-6D67-EC44-99AC-57B1D4224840}">
    <text>See earlier comment</text>
  </threadedComment>
  <threadedComment ref="Q215" dT="2025-08-28T08:01:28.74" personId="{883505FB-1381-7849-BEC1-80BE97B42F79}" id="{AA988933-A270-6349-8804-464E1B676E81}">
    <text>Not found</text>
  </threadedComment>
  <threadedComment ref="B218" dT="2025-08-18T19:07:05.65" personId="{883505FB-1381-7849-BEC1-80BE97B42F79}" id="{ED7D8BF6-06F9-F84C-AC91-9CAC20DE8B18}">
    <text>No clear numbers o MITT or ITT, etc, they just present rates</text>
  </threadedComment>
  <threadedComment ref="AE227" dT="2025-09-01T10:06:09.82" personId="{883505FB-1381-7849-BEC1-80BE97B42F79}" id="{648372DD-D031-7245-BAF5-84324D96DB1D}">
    <text>no clinical cure  or any outcomes</text>
  </threadedComment>
  <threadedComment ref="AL228" dT="2025-09-01T19:01:27.35" personId="{883505FB-1381-7849-BEC1-80BE97B42F79}" id="{7185A262-F677-A742-A5FA-65997A0C9ABD}">
    <text>can not access/ no CAP clear/ RCT not clear but randomised</text>
  </threadedComment>
  <threadedComment ref="F229" dT="2025-08-21T13:04:09.21" personId="{883505FB-1381-7849-BEC1-80BE97B42F79}" id="{3F1B8BEE-31BA-0B4C-BA8B-B4BA9027B0CA}">
    <text>No antibiotic mentioned. It only compared durations</text>
  </threadedComment>
  <threadedComment ref="AL230" dT="2025-09-01T18:58:08.21" personId="{883505FB-1381-7849-BEC1-80BE97B42F79}" id="{24291BBE-462C-764F-886B-55B95CE3C6F8}">
    <text>No outcomes 'cure/etc'</text>
  </threadedComment>
  <threadedComment ref="U233" dT="2025-08-28T16:34:49.39" personId="{883505FB-1381-7849-BEC1-80BE97B42F79}" id="{024D119C-CC31-0F46-9FEA-079D3E4BEA8E}">
    <text>Not CAP-specific; bronchopulmonary</text>
  </threadedComment>
  <threadedComment ref="U237" dT="2025-08-28T16:37:34.45" personId="{883505FB-1381-7849-BEC1-80BE97B42F79}" id="{97448ED8-BC13-DF46-8364-DE1089012809}">
    <text>bacterial pneumoniae, but not CAP specifically</text>
  </threadedComment>
  <threadedComment ref="AR239" dT="2025-09-02T12:44:07.68" personId="{883505FB-1381-7849-BEC1-80BE97B42F79}" id="{F01D1F23-CFCD-F949-AD6F-85C46076AC74}">
    <text>Cost-effectiveness analysis using Erard et al data</text>
  </threadedComment>
  <threadedComment ref="R243" dT="2025-08-28T11:22:59.35" personId="{883505FB-1381-7849-BEC1-80BE97B42F79}" id="{05EA93D8-6EA9-5B43-8529-4C167CAEC479}">
    <text>no outcomes reported clearly (treatment failure per treatment arm is missing)</text>
  </threadedComment>
  <threadedComment ref="Z243" dT="2025-08-29T18:12:56.81" personId="{883505FB-1381-7849-BEC1-80BE97B42F79}" id="{564817EA-E955-5E4F-9A2F-DE9651724D10}">
    <text>see earlier comments to the left</text>
  </threadedComment>
  <threadedComment ref="AE243" dT="2025-09-01T08:55:36.96" personId="{883505FB-1381-7849-BEC1-80BE97B42F79}" id="{2957C76D-A61A-094B-AC23-F856A5CEB144}">
    <text>See earlier comment</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doi.org/10.1016/S0140-6736(02)09994-4" TargetMode="External"/><Relationship Id="rId21" Type="http://schemas.openxmlformats.org/officeDocument/2006/relationships/hyperlink" Target="https://pmc.ncbi.nlm.nih.gov/articles/PMC1479094/pdf/bmj33201355.pdf" TargetMode="External"/><Relationship Id="rId42" Type="http://schemas.openxmlformats.org/officeDocument/2006/relationships/hyperlink" Target="https://www.sciencedirect.com/science/article/abs/pii/S0012369215415946" TargetMode="External"/><Relationship Id="rId47" Type="http://schemas.openxmlformats.org/officeDocument/2006/relationships/hyperlink" Target="https://academic.oup.com/cid/article/51/12/1395/316641" TargetMode="External"/><Relationship Id="rId63" Type="http://schemas.openxmlformats.org/officeDocument/2006/relationships/hyperlink" Target="https://pubmed.ncbi.nlm.nih.gov/8666093/" TargetMode="External"/><Relationship Id="rId68" Type="http://schemas.openxmlformats.org/officeDocument/2006/relationships/hyperlink" Target="https://academic.oup.com/cid/article-abstract/52/3/293/305937" TargetMode="External"/><Relationship Id="rId84" Type="http://schemas.openxmlformats.org/officeDocument/2006/relationships/hyperlink" Target="https://academic.oup.com/jac/article-abstract/27/suppl_A/47/822301" TargetMode="External"/><Relationship Id="rId89" Type="http://schemas.openxmlformats.org/officeDocument/2006/relationships/hyperlink" Target="https://doi.org/10.1080/03007995.2021.1885362" TargetMode="External"/><Relationship Id="rId16" Type="http://schemas.openxmlformats.org/officeDocument/2006/relationships/hyperlink" Target="https://pubmed.ncbi.nlm.nih.gov/10052544/" TargetMode="External"/><Relationship Id="rId11" Type="http://schemas.openxmlformats.org/officeDocument/2006/relationships/hyperlink" Target="https://www.clinicaltherapeutics.com/article/S0149-2918(02)85136-0/abstract" TargetMode="External"/><Relationship Id="rId32" Type="http://schemas.openxmlformats.org/officeDocument/2006/relationships/hyperlink" Target="https://pubmed.ncbi.nlm.nih.gov/25286173/" TargetMode="External"/><Relationship Id="rId37" Type="http://schemas.openxmlformats.org/officeDocument/2006/relationships/hyperlink" Target="https://pubmed.ncbi.nlm.nih.gov/12019085/" TargetMode="External"/><Relationship Id="rId53" Type="http://schemas.openxmlformats.org/officeDocument/2006/relationships/hyperlink" Target="https://www.sciencedirect.com/science/article/abs/pii/S0924857911004614" TargetMode="External"/><Relationship Id="rId58" Type="http://schemas.openxmlformats.org/officeDocument/2006/relationships/hyperlink" Target="https://journals.asm.org/doi/full/10.1128/aac.00295-10" TargetMode="External"/><Relationship Id="rId74" Type="http://schemas.openxmlformats.org/officeDocument/2006/relationships/hyperlink" Target="https://pubmed.ncbi.nlm.nih.gov/30360748/" TargetMode="External"/><Relationship Id="rId79" Type="http://schemas.openxmlformats.org/officeDocument/2006/relationships/hyperlink" Target="https://europepmc.org/article/med/9145823" TargetMode="External"/><Relationship Id="rId102" Type="http://schemas.openxmlformats.org/officeDocument/2006/relationships/comments" Target="../comments1.xml"/><Relationship Id="rId5" Type="http://schemas.openxmlformats.org/officeDocument/2006/relationships/hyperlink" Target="https://doi.org/10.1179/joc.2005.17.6.636" TargetMode="External"/><Relationship Id="rId90" Type="http://schemas.openxmlformats.org/officeDocument/2006/relationships/hyperlink" Target="https://pubmed.ncbi.nlm.nih.gov/35545995/" TargetMode="External"/><Relationship Id="rId95" Type="http://schemas.openxmlformats.org/officeDocument/2006/relationships/hyperlink" Target="https://pubmed.ncbi.nlm.nih.gov/2612203/" TargetMode="External"/><Relationship Id="rId22" Type="http://schemas.openxmlformats.org/officeDocument/2006/relationships/hyperlink" Target="https://pubmed.ncbi.nlm.nih.gov/17537866/" TargetMode="External"/><Relationship Id="rId27" Type="http://schemas.openxmlformats.org/officeDocument/2006/relationships/hyperlink" Target="https://www.tandfonline.com/doi/pdf/10.1179/joc.2008.20.1.77?casa_token=hJHix3jZmwwAAAAA:elv8cOeYnuJm1GZ8qqzM5Yp_OCysvzmIl8OmwI0YSvovsctIF-YwPxhchY3lRqdrU9Y-WgO8nR1gsg" TargetMode="External"/><Relationship Id="rId43" Type="http://schemas.openxmlformats.org/officeDocument/2006/relationships/hyperlink" Target="https://synapse.koreamed.org/articles/1029136" TargetMode="External"/><Relationship Id="rId48" Type="http://schemas.openxmlformats.org/officeDocument/2006/relationships/hyperlink" Target="https://journals.asm.org/doi/abs/10.1128/aac.41.9.1965" TargetMode="External"/><Relationship Id="rId64" Type="http://schemas.openxmlformats.org/officeDocument/2006/relationships/hyperlink" Target="https://pubmed.ncbi.nlm.nih.gov/17901791/" TargetMode="External"/><Relationship Id="rId69" Type="http://schemas.openxmlformats.org/officeDocument/2006/relationships/hyperlink" Target="https://pubmed.ncbi.nlm.nih.gov/15682244/" TargetMode="External"/><Relationship Id="rId80" Type="http://schemas.openxmlformats.org/officeDocument/2006/relationships/hyperlink" Target="https://onlinelibrary.wiley.com/doi/10.1111/j.1365-2710.2009.01073.x" TargetMode="External"/><Relationship Id="rId85" Type="http://schemas.openxmlformats.org/officeDocument/2006/relationships/hyperlink" Target="https://www.thelancet.com/journals/lancet/article/PIIS0140-6736(21)00313-5/abstract" TargetMode="External"/><Relationship Id="rId12" Type="http://schemas.openxmlformats.org/officeDocument/2006/relationships/hyperlink" Target="https://academic.oup.com/tropej/article-abstract/54/6/382/1679287?redirectedFrom=fulltext&amp;login=false" TargetMode="External"/><Relationship Id="rId17" Type="http://schemas.openxmlformats.org/officeDocument/2006/relationships/hyperlink" Target="https://doi.org/10.1007/bf02310353" TargetMode="External"/><Relationship Id="rId25" Type="http://schemas.openxmlformats.org/officeDocument/2006/relationships/hyperlink" Target="https://www.sciencedirect.com/science/article/pii/S0399077X02003840?casa_token=T-x1rnMzB1AAAAAA:r7RzO4UIk59RHjdq7ElcEGSiH2D31UrP4O4GJCNs80vt-wFGItyUEKZ6VhWbYfvizSCFJptavr8" TargetMode="External"/><Relationship Id="rId33" Type="http://schemas.openxmlformats.org/officeDocument/2006/relationships/hyperlink" Target="https://pubmed.ncbi.nlm.nih.gov/12240780/" TargetMode="External"/><Relationship Id="rId38" Type="http://schemas.openxmlformats.org/officeDocument/2006/relationships/hyperlink" Target="https://pubmed.ncbi.nlm.nih.gov/15944847/" TargetMode="External"/><Relationship Id="rId46" Type="http://schemas.openxmlformats.org/officeDocument/2006/relationships/hyperlink" Target="https://pubmed.ncbi.nlm.nih.gov/18990531/" TargetMode="External"/><Relationship Id="rId59" Type="http://schemas.openxmlformats.org/officeDocument/2006/relationships/hyperlink" Target="https://pubmed.ncbi.nlm.nih.gov/17015999/" TargetMode="External"/><Relationship Id="rId67" Type="http://schemas.openxmlformats.org/officeDocument/2006/relationships/hyperlink" Target="https://adc.bmj.com/content/92/4/291.short" TargetMode="External"/><Relationship Id="rId103" Type="http://schemas.microsoft.com/office/2017/10/relationships/threadedComment" Target="../threadedComments/threadedComment1.xml"/><Relationship Id="rId20" Type="http://schemas.openxmlformats.org/officeDocument/2006/relationships/hyperlink" Target="https://doi.org/10.1378/chest.128.4.2230" TargetMode="External"/><Relationship Id="rId41" Type="http://schemas.openxmlformats.org/officeDocument/2006/relationships/hyperlink" Target="https://link.springer.com/article/10.2165/00151829-200403050-00006" TargetMode="External"/><Relationship Id="rId54" Type="http://schemas.openxmlformats.org/officeDocument/2006/relationships/hyperlink" Target="https://pubmed.ncbi.nlm.nih.gov/18444848/" TargetMode="External"/><Relationship Id="rId62" Type="http://schemas.openxmlformats.org/officeDocument/2006/relationships/hyperlink" Target="https://pubmed.ncbi.nlm.nih.gov/11453311/" TargetMode="External"/><Relationship Id="rId70" Type="http://schemas.openxmlformats.org/officeDocument/2006/relationships/hyperlink" Target="https://pubmed.ncbi.nlm.nih.gov/11827905/" TargetMode="External"/><Relationship Id="rId75" Type="http://schemas.openxmlformats.org/officeDocument/2006/relationships/hyperlink" Target="https://link.springer.com/article/10.1007/BF03261911" TargetMode="External"/><Relationship Id="rId83" Type="http://schemas.openxmlformats.org/officeDocument/2006/relationships/hyperlink" Target="https://pubmed.ncbi.nlm.nih.gov/22285055/" TargetMode="External"/><Relationship Id="rId88" Type="http://schemas.openxmlformats.org/officeDocument/2006/relationships/hyperlink" Target="https://doi.org/10.1016/j.ijantimicag.2024.107235" TargetMode="External"/><Relationship Id="rId91" Type="http://schemas.openxmlformats.org/officeDocument/2006/relationships/hyperlink" Target="https://www.nejm.org/doi/full/10.1056/NEJMoa1800201" TargetMode="External"/><Relationship Id="rId96" Type="http://schemas.openxmlformats.org/officeDocument/2006/relationships/hyperlink" Target="https://www.clinicaltherapeutics.com/article/S0149-2918(02)80078-9/abstract" TargetMode="External"/><Relationship Id="rId1" Type="http://schemas.openxmlformats.org/officeDocument/2006/relationships/hyperlink" Target="https://doi.org/10.1128/aac.00197-13" TargetMode="External"/><Relationship Id="rId6" Type="http://schemas.openxmlformats.org/officeDocument/2006/relationships/hyperlink" Target="https://doi.org/10.1093/jac/27.suppl_A.117" TargetMode="External"/><Relationship Id="rId15" Type="http://schemas.openxmlformats.org/officeDocument/2006/relationships/hyperlink" Target="https://www.sciencedirect.com/science/article/abs/pii/S0369811405001161?via%3Dihub" TargetMode="External"/><Relationship Id="rId23" Type="http://schemas.openxmlformats.org/officeDocument/2006/relationships/hyperlink" Target="https://pmc.ncbi.nlm.nih.gov/articles/PMC383371/pdf/bmj32800791.pdf" TargetMode="External"/><Relationship Id="rId28" Type="http://schemas.openxmlformats.org/officeDocument/2006/relationships/hyperlink" Target="https://doi.org/10.3109/00365549409008639" TargetMode="External"/><Relationship Id="rId36" Type="http://schemas.openxmlformats.org/officeDocument/2006/relationships/hyperlink" Target="https://link.springer.com/article/10.1007/s11596-006-0411-0" TargetMode="External"/><Relationship Id="rId49" Type="http://schemas.openxmlformats.org/officeDocument/2006/relationships/hyperlink" Target="https://www.sciencedirect.com/science/article/pii/S1684118215009159" TargetMode="External"/><Relationship Id="rId57" Type="http://schemas.openxmlformats.org/officeDocument/2006/relationships/hyperlink" Target="https://journals.asm.org/doi/full/10.1128/aac.00295-10" TargetMode="External"/><Relationship Id="rId10" Type="http://schemas.openxmlformats.org/officeDocument/2006/relationships/hyperlink" Target="https://link.springer.com/content/pdf/10.1007/BF01973989.pdf" TargetMode="External"/><Relationship Id="rId31" Type="http://schemas.openxmlformats.org/officeDocument/2006/relationships/hyperlink" Target="https://pubmed.ncbi.nlm.nih.gov/17939262/" TargetMode="External"/><Relationship Id="rId44" Type="http://schemas.openxmlformats.org/officeDocument/2006/relationships/hyperlink" Target="https://www.sciencedirect.com/science/article/abs/pii/S0012369215375838" TargetMode="External"/><Relationship Id="rId52" Type="http://schemas.openxmlformats.org/officeDocument/2006/relationships/hyperlink" Target="https://www.sciencedirect.com/science/article/pii/S187603411830042X" TargetMode="External"/><Relationship Id="rId60" Type="http://schemas.openxmlformats.org/officeDocument/2006/relationships/hyperlink" Target="https://pubmed.ncbi.nlm.nih.gov/25539586/" TargetMode="External"/><Relationship Id="rId65" Type="http://schemas.openxmlformats.org/officeDocument/2006/relationships/hyperlink" Target="https://pubmed.ncbi.nlm.nih.gov/8666093/" TargetMode="External"/><Relationship Id="rId73" Type="http://schemas.openxmlformats.org/officeDocument/2006/relationships/hyperlink" Target="https://www.sciencedirect.com/science/article/pii/S1684118217301512" TargetMode="External"/><Relationship Id="rId78" Type="http://schemas.openxmlformats.org/officeDocument/2006/relationships/hyperlink" Target="https://academic.oup.com/jac/article-abstract/22/Supplement_B/155/714072" TargetMode="External"/><Relationship Id="rId81" Type="http://schemas.openxmlformats.org/officeDocument/2006/relationships/hyperlink" Target="https://www.thelancet.com/journals/lancet/article/PIIS0140673608600719/abstract" TargetMode="External"/><Relationship Id="rId86" Type="http://schemas.openxmlformats.org/officeDocument/2006/relationships/hyperlink" Target="https://pubmed.ncbi.nlm.nih.gov/32609979/" TargetMode="External"/><Relationship Id="rId94" Type="http://schemas.openxmlformats.org/officeDocument/2006/relationships/hyperlink" Target="https://link.springer.com/article/10.2165/00044011-200323080-00001" TargetMode="External"/><Relationship Id="rId99" Type="http://schemas.openxmlformats.org/officeDocument/2006/relationships/hyperlink" Target="https://academic.oup.com/cid/article-abstract/34/8/1076/283024?redirectedFrom=fulltext&amp;login=false" TargetMode="External"/><Relationship Id="rId101" Type="http://schemas.openxmlformats.org/officeDocument/2006/relationships/vmlDrawing" Target="../drawings/vmlDrawing1.vml"/><Relationship Id="rId4" Type="http://schemas.openxmlformats.org/officeDocument/2006/relationships/hyperlink" Target="https://doi.org/10.1086/377539" TargetMode="External"/><Relationship Id="rId9" Type="http://schemas.openxmlformats.org/officeDocument/2006/relationships/hyperlink" Target="https://journals.lww.com/cmj/fulltext/2014/04050/clinical_efficacy_and_safety_of_moxifloxacin.1.aspx" TargetMode="External"/><Relationship Id="rId13" Type="http://schemas.openxmlformats.org/officeDocument/2006/relationships/hyperlink" Target="https://pubmed.ncbi.nlm.nih.gov/9690406/" TargetMode="External"/><Relationship Id="rId18" Type="http://schemas.openxmlformats.org/officeDocument/2006/relationships/hyperlink" Target="https://doi.org/10.1007/bf02310353" TargetMode="External"/><Relationship Id="rId39" Type="http://schemas.openxmlformats.org/officeDocument/2006/relationships/hyperlink" Target="https://pubmed.ncbi.nlm.nih.gov/12583553/" TargetMode="External"/><Relationship Id="rId34" Type="http://schemas.openxmlformats.org/officeDocument/2006/relationships/hyperlink" Target="https://www.sciencedirect.com/science/article/abs/pii/S0012369215375838" TargetMode="External"/><Relationship Id="rId50" Type="http://schemas.openxmlformats.org/officeDocument/2006/relationships/hyperlink" Target="https://www.sciencedirect.com/science/article/pii/S1684118215009159" TargetMode="External"/><Relationship Id="rId55" Type="http://schemas.openxmlformats.org/officeDocument/2006/relationships/hyperlink" Target="https://www.sciencedirect.com/science/article/pii/S095461110600165X" TargetMode="External"/><Relationship Id="rId76" Type="http://schemas.openxmlformats.org/officeDocument/2006/relationships/hyperlink" Target="https://www.medigraphic.com/cgi-bin/new/resumenI.cgi?IDARTICULO=46755" TargetMode="External"/><Relationship Id="rId97" Type="http://schemas.openxmlformats.org/officeDocument/2006/relationships/hyperlink" Target="https://www.jstage.jst.go.jp/article/internalmedicine/48/1/48_1_49/_pdf/-char/en" TargetMode="External"/><Relationship Id="rId7" Type="http://schemas.openxmlformats.org/officeDocument/2006/relationships/hyperlink" Target="https://doi.org/10.1128/aac.05596-11" TargetMode="External"/><Relationship Id="rId71" Type="http://schemas.openxmlformats.org/officeDocument/2006/relationships/hyperlink" Target="https://academic.oup.com/jac/article/47/4/441/821546" TargetMode="External"/><Relationship Id="rId92" Type="http://schemas.openxmlformats.org/officeDocument/2006/relationships/hyperlink" Target="https://doi.org/10.1080/03007995.2021.1885362" TargetMode="External"/><Relationship Id="rId2" Type="http://schemas.openxmlformats.org/officeDocument/2006/relationships/hyperlink" Target="https://doi.org/10.1001/jama.2019.15468" TargetMode="External"/><Relationship Id="rId29" Type="http://schemas.openxmlformats.org/officeDocument/2006/relationships/hyperlink" Target="https://doi.org/10.1093/jac/25.suppl_A.123" TargetMode="External"/><Relationship Id="rId24" Type="http://schemas.openxmlformats.org/officeDocument/2006/relationships/hyperlink" Target="https://link.springer.com/content/pdf/10.1007/bf01975846.pdf" TargetMode="External"/><Relationship Id="rId40" Type="http://schemas.openxmlformats.org/officeDocument/2006/relationships/hyperlink" Target="https://pubmed.ncbi.nlm.nih.gov/12583553/" TargetMode="External"/><Relationship Id="rId45" Type="http://schemas.openxmlformats.org/officeDocument/2006/relationships/hyperlink" Target="https://synapse.koreamed.org/articles/1029136" TargetMode="External"/><Relationship Id="rId66" Type="http://schemas.openxmlformats.org/officeDocument/2006/relationships/hyperlink" Target="https://pubmed.ncbi.nlm.nih.gov/11453311/" TargetMode="External"/><Relationship Id="rId87" Type="http://schemas.openxmlformats.org/officeDocument/2006/relationships/hyperlink" Target="https://journals.lww.com/pidj/abstract/1998/10000/safety_and_efficacy_of_azithromycin_in_the.4.aspx" TargetMode="External"/><Relationship Id="rId61" Type="http://schemas.openxmlformats.org/officeDocument/2006/relationships/hyperlink" Target="https://academic.oup.com/cid/article/38/Supplement_1/S16/325604" TargetMode="External"/><Relationship Id="rId82" Type="http://schemas.openxmlformats.org/officeDocument/2006/relationships/hyperlink" Target="https://www.thelancet.com/journals/lancet/article/PIIS0140-6736(11)61140-9/abstract?pgtype=article&amp;contentCollection=meter-links-click&amp;referrer=&amp;module=meter-Links&amp;contentId=&amp;action=click&amp;mediaId=&amp;priority=true&amp;version=meter+at+null" TargetMode="External"/><Relationship Id="rId19" Type="http://schemas.openxmlformats.org/officeDocument/2006/relationships/hyperlink" Target="https://pmc.ncbi.nlm.nih.gov/articles/PMC1251562/pdf/1458-04.pdf" TargetMode="External"/><Relationship Id="rId14" Type="http://schemas.openxmlformats.org/officeDocument/2006/relationships/hyperlink" Target="https://pubmed.ncbi.nlm.nih.gov/21829969/" TargetMode="External"/><Relationship Id="rId30" Type="http://schemas.openxmlformats.org/officeDocument/2006/relationships/hyperlink" Target="https://journals.lww.com/americantherapeutics/abstract/1999/07000/Comparison_of_7_Versus_10_Days_of_Antibiotic.7.aspx?casa_token=5VGtKejqjhQAAAAA:2M-cp-x-L681IsPoiCmq28TMKB6tOuzV-SpbkIZBSkKhLz8d8xTRC7CqW2EDMJh1C4pCnaaBYxrfzSq9g9RWGmUc" TargetMode="External"/><Relationship Id="rId35" Type="http://schemas.openxmlformats.org/officeDocument/2006/relationships/hyperlink" Target="https://academic.oup.com/cid/article-abstract/46/10/1499/292940?redirectedFrom=PDF" TargetMode="External"/><Relationship Id="rId56" Type="http://schemas.openxmlformats.org/officeDocument/2006/relationships/hyperlink" Target="https://link.springer.com/article/10.1186/1471-2466-9-44" TargetMode="External"/><Relationship Id="rId77" Type="http://schemas.openxmlformats.org/officeDocument/2006/relationships/hyperlink" Target="https://link.springer.com/article/10.2165/00003495-198700341-00015" TargetMode="External"/><Relationship Id="rId100" Type="http://schemas.openxmlformats.org/officeDocument/2006/relationships/hyperlink" Target="https://link.springer.com/article/10.2165/00044011-199714060-00001" TargetMode="External"/><Relationship Id="rId8" Type="http://schemas.openxmlformats.org/officeDocument/2006/relationships/hyperlink" Target="https://journals.lww.com/pidj/abstract/2014/02000/short_course_antibiotic_treatment_for.7.aspx" TargetMode="External"/><Relationship Id="rId51" Type="http://schemas.openxmlformats.org/officeDocument/2006/relationships/hyperlink" Target="https://www.sciencedirect.com/science/article/pii/S1198743X14623314" TargetMode="External"/><Relationship Id="rId72" Type="http://schemas.openxmlformats.org/officeDocument/2006/relationships/hyperlink" Target="https://www.sciencedirect.com/science/article/pii/S0149291800882715" TargetMode="External"/><Relationship Id="rId93" Type="http://schemas.openxmlformats.org/officeDocument/2006/relationships/hyperlink" Target="https://link-springer-com.ezproxy-prd.bodleian.ox.ac.uk/article/10.2165/00044011-199714050-00001" TargetMode="External"/><Relationship Id="rId98" Type="http://schemas.openxmlformats.org/officeDocument/2006/relationships/hyperlink" Target="https://academic.oup.com/jac/article/57/3/536/738033" TargetMode="External"/><Relationship Id="rId3" Type="http://schemas.openxmlformats.org/officeDocument/2006/relationships/hyperlink" Target="https://doi.org/10.1016/j.diagmicrobio.2013.11.008"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6A9B-D49B-8F44-93CB-E82095FAEB39}">
  <dimension ref="B1:E19"/>
  <sheetViews>
    <sheetView tabSelected="1" zoomScale="133" zoomScaleNormal="133" workbookViewId="0">
      <selection activeCell="K16" sqref="K16"/>
    </sheetView>
  </sheetViews>
  <sheetFormatPr baseColWidth="10" defaultRowHeight="16" x14ac:dyDescent="0.2"/>
  <cols>
    <col min="1" max="2" width="10.83203125" style="61"/>
    <col min="3" max="3" width="12.1640625" style="61" bestFit="1" customWidth="1"/>
    <col min="4" max="16384" width="10.83203125" style="61"/>
  </cols>
  <sheetData>
    <row r="1" spans="2:5" ht="22" x14ac:dyDescent="0.3">
      <c r="B1" s="63"/>
      <c r="C1" s="63"/>
      <c r="D1" s="63"/>
      <c r="E1" s="63"/>
    </row>
    <row r="2" spans="2:5" ht="27" x14ac:dyDescent="0.35">
      <c r="B2" s="65"/>
      <c r="C2" s="66" t="s">
        <v>1478</v>
      </c>
      <c r="D2" s="65"/>
      <c r="E2" s="65"/>
    </row>
    <row r="3" spans="2:5" ht="22" x14ac:dyDescent="0.3">
      <c r="B3" s="63"/>
      <c r="C3" s="63"/>
      <c r="D3" s="63"/>
      <c r="E3" s="63"/>
    </row>
    <row r="4" spans="2:5" ht="22" x14ac:dyDescent="0.3">
      <c r="B4" s="63"/>
      <c r="C4" s="63"/>
      <c r="D4" s="63"/>
      <c r="E4" s="63"/>
    </row>
    <row r="5" spans="2:5" ht="22" x14ac:dyDescent="0.3">
      <c r="B5" s="62" t="s">
        <v>1</v>
      </c>
      <c r="C5" s="63" t="s">
        <v>1479</v>
      </c>
      <c r="D5" s="63"/>
      <c r="E5" s="63"/>
    </row>
    <row r="6" spans="2:5" ht="22" x14ac:dyDescent="0.3">
      <c r="B6" s="63"/>
      <c r="C6" s="63"/>
      <c r="D6" s="63"/>
      <c r="E6" s="63"/>
    </row>
    <row r="7" spans="2:5" ht="22" x14ac:dyDescent="0.3">
      <c r="B7" s="62" t="s">
        <v>1480</v>
      </c>
      <c r="C7" s="64">
        <v>46073</v>
      </c>
      <c r="D7" s="63"/>
      <c r="E7" s="63"/>
    </row>
    <row r="8" spans="2:5" ht="22" x14ac:dyDescent="0.3">
      <c r="B8" s="63"/>
      <c r="C8" s="63"/>
      <c r="D8" s="63"/>
      <c r="E8" s="63"/>
    </row>
    <row r="9" spans="2:5" ht="22" x14ac:dyDescent="0.3">
      <c r="B9" s="62" t="s">
        <v>1481</v>
      </c>
      <c r="C9" s="63"/>
      <c r="D9" s="63"/>
      <c r="E9" s="63"/>
    </row>
    <row r="10" spans="2:5" ht="22" x14ac:dyDescent="0.3">
      <c r="B10" s="63"/>
      <c r="C10" s="63" t="s">
        <v>1482</v>
      </c>
      <c r="D10" s="63"/>
      <c r="E10" s="63"/>
    </row>
    <row r="11" spans="2:5" ht="22" x14ac:dyDescent="0.3">
      <c r="B11" s="63"/>
      <c r="C11" s="63" t="s">
        <v>1483</v>
      </c>
      <c r="D11" s="63"/>
      <c r="E11" s="63"/>
    </row>
    <row r="12" spans="2:5" ht="22" x14ac:dyDescent="0.3">
      <c r="B12" s="63"/>
      <c r="C12" s="63" t="s">
        <v>1484</v>
      </c>
      <c r="D12" s="63"/>
      <c r="E12" s="63"/>
    </row>
    <row r="13" spans="2:5" ht="22" x14ac:dyDescent="0.3">
      <c r="B13" s="63"/>
      <c r="C13" s="63"/>
      <c r="D13" s="63"/>
      <c r="E13" s="63"/>
    </row>
    <row r="14" spans="2:5" ht="22" x14ac:dyDescent="0.3">
      <c r="B14" s="63"/>
      <c r="C14" s="63"/>
      <c r="D14" s="63"/>
      <c r="E14" s="63"/>
    </row>
    <row r="15" spans="2:5" ht="22" x14ac:dyDescent="0.3">
      <c r="B15" s="63"/>
      <c r="C15" s="63"/>
      <c r="D15" s="63"/>
      <c r="E15" s="63"/>
    </row>
    <row r="16" spans="2:5" ht="22" x14ac:dyDescent="0.3">
      <c r="B16" s="63"/>
      <c r="C16" s="63"/>
      <c r="D16" s="63"/>
      <c r="E16" s="63"/>
    </row>
    <row r="17" spans="2:5" ht="22" x14ac:dyDescent="0.3">
      <c r="B17" s="63"/>
      <c r="C17" s="63"/>
      <c r="D17" s="63"/>
      <c r="E17" s="63"/>
    </row>
    <row r="18" spans="2:5" ht="22" x14ac:dyDescent="0.3">
      <c r="B18" s="63"/>
      <c r="C18" s="63"/>
      <c r="D18" s="63"/>
      <c r="E18" s="63"/>
    </row>
    <row r="19" spans="2:5" ht="22" x14ac:dyDescent="0.3">
      <c r="B19" s="63"/>
      <c r="C19" s="63"/>
      <c r="D19" s="63"/>
      <c r="E19" s="6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797D-F1FB-E94A-8461-3ED61CD3949C}">
  <dimension ref="A1:CZ203"/>
  <sheetViews>
    <sheetView zoomScale="130" zoomScaleNormal="130" workbookViewId="0">
      <pane ySplit="1" topLeftCell="A2" activePane="bottomLeft" state="frozen"/>
      <selection activeCell="Q1" sqref="Q1"/>
      <selection pane="bottomLeft" activeCell="O7" sqref="O7"/>
    </sheetView>
  </sheetViews>
  <sheetFormatPr baseColWidth="10" defaultRowHeight="16" x14ac:dyDescent="0.2"/>
  <cols>
    <col min="1" max="1" width="5.33203125" style="7" customWidth="1"/>
    <col min="2" max="2" width="5.1640625" customWidth="1"/>
    <col min="3" max="3" width="9.1640625" customWidth="1"/>
    <col min="4" max="4" width="17.6640625" style="1" customWidth="1"/>
    <col min="5" max="5" width="7.83203125" style="1" hidden="1" customWidth="1"/>
    <col min="6" max="6" width="6.6640625" style="1" customWidth="1"/>
    <col min="7" max="7" width="14.6640625" style="1" customWidth="1"/>
    <col min="8" max="8" width="10.83203125" style="1"/>
    <col min="9" max="9" width="5.6640625" style="1" customWidth="1"/>
    <col min="10" max="11" width="11.5" style="1" customWidth="1"/>
    <col min="12" max="12" width="7.33203125" style="1" customWidth="1"/>
    <col min="13" max="13" width="12.33203125" style="1" customWidth="1"/>
    <col min="14" max="15" width="14" style="1" customWidth="1"/>
    <col min="16" max="16" width="14" style="1" bestFit="1" customWidth="1"/>
    <col min="17" max="17" width="11.83203125" style="6" customWidth="1"/>
    <col min="18" max="18" width="15.33203125" style="6" customWidth="1"/>
    <col min="19" max="19" width="27.1640625" style="1" customWidth="1"/>
    <col min="20" max="20" width="24.33203125" style="1" customWidth="1"/>
    <col min="21" max="21" width="11.5" style="1" customWidth="1"/>
    <col min="22" max="23" width="13.5" style="1" customWidth="1"/>
    <col min="24" max="24" width="14.6640625" style="1" customWidth="1"/>
    <col min="25" max="25" width="16" style="1" customWidth="1"/>
    <col min="26" max="26" width="24.5" style="1" customWidth="1"/>
    <col min="27" max="27" width="22.33203125" style="1" customWidth="1"/>
    <col min="28" max="28" width="11.33203125" style="1" customWidth="1"/>
    <col min="29" max="30" width="11.6640625" style="1" customWidth="1"/>
    <col min="31" max="31" width="15.1640625" style="1" customWidth="1"/>
    <col min="32" max="32" width="16" style="1" customWidth="1"/>
    <col min="33" max="33" width="16.33203125" style="1" customWidth="1"/>
    <col min="34" max="34" width="19.1640625" style="1" customWidth="1"/>
    <col min="35" max="37" width="17.1640625" style="1" customWidth="1"/>
    <col min="38" max="38" width="20.6640625" style="1" customWidth="1"/>
    <col min="39" max="40" width="16.33203125" style="1" customWidth="1"/>
    <col min="41" max="41" width="19.1640625" style="1" customWidth="1"/>
    <col min="42" max="42" width="27.5" style="1" customWidth="1"/>
    <col min="43" max="43" width="22.5" style="1" customWidth="1"/>
    <col min="44" max="49" width="16.33203125" style="1" customWidth="1"/>
    <col min="50" max="51" width="16.5" style="1" customWidth="1"/>
    <col min="52" max="52" width="22.5" style="1" customWidth="1"/>
    <col min="53" max="53" width="16.33203125" style="1" customWidth="1"/>
    <col min="54" max="56" width="19" style="1" customWidth="1"/>
    <col min="57" max="57" width="22.33203125" style="1" customWidth="1"/>
    <col min="58" max="59" width="16.33203125" style="1" customWidth="1"/>
    <col min="60" max="60" width="22.33203125" style="1" customWidth="1"/>
    <col min="61" max="61" width="26.5" style="1" customWidth="1"/>
    <col min="62" max="62" width="22.5" style="1" customWidth="1"/>
    <col min="63" max="64" width="16.33203125" style="1" customWidth="1"/>
    <col min="65" max="66" width="16" style="1" customWidth="1"/>
    <col min="67" max="70" width="16.33203125" style="1" customWidth="1"/>
    <col min="71" max="71" width="22.5" style="1" customWidth="1"/>
    <col min="72" max="72" width="11.33203125" style="1" customWidth="1"/>
    <col min="73" max="73" width="14" style="1" customWidth="1"/>
    <col min="74" max="74" width="12.83203125" style="1" customWidth="1"/>
    <col min="75" max="75" width="14.1640625" style="1" customWidth="1"/>
    <col min="76" max="77" width="12.5" style="1" customWidth="1"/>
    <col min="78" max="78" width="14.1640625" style="1" customWidth="1"/>
    <col min="79" max="79" width="15.83203125" style="1" customWidth="1"/>
    <col min="80" max="80" width="13.83203125" style="1" customWidth="1"/>
    <col min="81" max="81" width="23.33203125" style="1" customWidth="1"/>
    <col min="82" max="82" width="19.6640625" style="1" customWidth="1"/>
    <col min="83" max="91" width="10.83203125" style="1"/>
    <col min="92" max="16384" width="10.83203125" style="7"/>
  </cols>
  <sheetData>
    <row r="1" spans="1:104" s="4" customFormat="1" ht="70" customHeight="1" x14ac:dyDescent="0.2">
      <c r="A1" s="3" t="s">
        <v>15</v>
      </c>
      <c r="B1" s="3" t="s">
        <v>1431</v>
      </c>
      <c r="C1" s="3" t="s">
        <v>78</v>
      </c>
      <c r="D1" s="2" t="s">
        <v>5</v>
      </c>
      <c r="E1" s="2" t="s">
        <v>383</v>
      </c>
      <c r="F1" s="2" t="s">
        <v>0</v>
      </c>
      <c r="G1" s="2" t="s">
        <v>1</v>
      </c>
      <c r="H1" s="2" t="s">
        <v>2</v>
      </c>
      <c r="I1" s="2" t="s">
        <v>8</v>
      </c>
      <c r="J1" s="2" t="s">
        <v>3</v>
      </c>
      <c r="K1" s="2" t="s">
        <v>1470</v>
      </c>
      <c r="L1" s="2" t="s">
        <v>30</v>
      </c>
      <c r="M1" s="2" t="s">
        <v>10</v>
      </c>
      <c r="N1" s="2" t="s">
        <v>385</v>
      </c>
      <c r="O1" s="2" t="s">
        <v>386</v>
      </c>
      <c r="P1" s="2" t="s">
        <v>165</v>
      </c>
      <c r="Q1" s="2" t="s">
        <v>307</v>
      </c>
      <c r="R1" s="2" t="s">
        <v>306</v>
      </c>
      <c r="S1" s="2" t="s">
        <v>1445</v>
      </c>
      <c r="T1" s="2" t="s">
        <v>1444</v>
      </c>
      <c r="U1" s="2" t="s">
        <v>1443</v>
      </c>
      <c r="V1" s="2" t="s">
        <v>1442</v>
      </c>
      <c r="W1" s="2" t="s">
        <v>1449</v>
      </c>
      <c r="X1" s="2" t="s">
        <v>1440</v>
      </c>
      <c r="Y1" s="2" t="s">
        <v>1441</v>
      </c>
      <c r="Z1" s="3" t="s">
        <v>1439</v>
      </c>
      <c r="AA1" s="3" t="s">
        <v>1438</v>
      </c>
      <c r="AB1" s="3" t="s">
        <v>1437</v>
      </c>
      <c r="AC1" s="3" t="s">
        <v>1436</v>
      </c>
      <c r="AD1" s="3" t="s">
        <v>1448</v>
      </c>
      <c r="AE1" s="3" t="s">
        <v>1435</v>
      </c>
      <c r="AF1" s="3" t="s">
        <v>1434</v>
      </c>
      <c r="AG1" s="2" t="s">
        <v>441</v>
      </c>
      <c r="AH1" s="9" t="s">
        <v>1433</v>
      </c>
      <c r="AI1" s="11" t="s">
        <v>443</v>
      </c>
      <c r="AJ1" s="11" t="s">
        <v>434</v>
      </c>
      <c r="AK1" s="11" t="s">
        <v>438</v>
      </c>
      <c r="AL1" s="40" t="s">
        <v>447</v>
      </c>
      <c r="AM1" s="40" t="s">
        <v>435</v>
      </c>
      <c r="AN1" s="40" t="s">
        <v>436</v>
      </c>
      <c r="AO1" s="11" t="s">
        <v>496</v>
      </c>
      <c r="AP1" s="11" t="s">
        <v>541</v>
      </c>
      <c r="AQ1" s="11" t="s">
        <v>498</v>
      </c>
      <c r="AR1" s="9" t="s">
        <v>389</v>
      </c>
      <c r="AS1" s="9" t="s">
        <v>391</v>
      </c>
      <c r="AT1" s="9" t="s">
        <v>543</v>
      </c>
      <c r="AU1" s="9" t="s">
        <v>1455</v>
      </c>
      <c r="AV1" s="9" t="s">
        <v>393</v>
      </c>
      <c r="AW1" s="9" t="s">
        <v>392</v>
      </c>
      <c r="AX1" s="9" t="s">
        <v>423</v>
      </c>
      <c r="AY1" s="9" t="s">
        <v>502</v>
      </c>
      <c r="AZ1" s="9" t="s">
        <v>503</v>
      </c>
      <c r="BA1" s="10" t="s">
        <v>1432</v>
      </c>
      <c r="BB1" s="12" t="s">
        <v>442</v>
      </c>
      <c r="BC1" s="12" t="s">
        <v>437</v>
      </c>
      <c r="BD1" s="12" t="s">
        <v>440</v>
      </c>
      <c r="BE1" s="39" t="s">
        <v>448</v>
      </c>
      <c r="BF1" s="39" t="s">
        <v>1456</v>
      </c>
      <c r="BG1" s="39" t="s">
        <v>439</v>
      </c>
      <c r="BH1" s="12" t="s">
        <v>497</v>
      </c>
      <c r="BI1" s="12" t="s">
        <v>542</v>
      </c>
      <c r="BJ1" s="12" t="s">
        <v>499</v>
      </c>
      <c r="BK1" s="10" t="s">
        <v>395</v>
      </c>
      <c r="BL1" s="10" t="s">
        <v>397</v>
      </c>
      <c r="BM1" s="10" t="s">
        <v>544</v>
      </c>
      <c r="BN1" s="10" t="s">
        <v>545</v>
      </c>
      <c r="BO1" s="10" t="s">
        <v>396</v>
      </c>
      <c r="BP1" s="10" t="s">
        <v>398</v>
      </c>
      <c r="BQ1" s="10" t="s">
        <v>422</v>
      </c>
      <c r="BR1" s="10" t="s">
        <v>501</v>
      </c>
      <c r="BS1" s="10" t="s">
        <v>1454</v>
      </c>
      <c r="BT1" s="2" t="s">
        <v>1072</v>
      </c>
      <c r="BU1" s="2" t="s">
        <v>535</v>
      </c>
      <c r="BV1" s="2" t="s">
        <v>536</v>
      </c>
      <c r="BW1" s="2" t="s">
        <v>537</v>
      </c>
      <c r="BX1" s="2" t="s">
        <v>540</v>
      </c>
      <c r="BY1" s="2" t="s">
        <v>552</v>
      </c>
      <c r="BZ1" s="2" t="s">
        <v>539</v>
      </c>
      <c r="CA1" s="2" t="s">
        <v>1446</v>
      </c>
      <c r="CB1" s="2" t="s">
        <v>1447</v>
      </c>
      <c r="CC1" s="2" t="s">
        <v>478</v>
      </c>
      <c r="CD1" s="3" t="s">
        <v>880</v>
      </c>
      <c r="CE1" s="3"/>
      <c r="CF1" s="3"/>
      <c r="CG1" s="3"/>
      <c r="CH1" s="3"/>
      <c r="CI1" s="3"/>
      <c r="CJ1" s="3"/>
      <c r="CK1" s="3"/>
      <c r="CL1" s="3"/>
      <c r="CM1" s="3"/>
      <c r="CN1" s="3"/>
      <c r="CO1" s="3"/>
      <c r="CP1" s="3"/>
      <c r="CQ1" s="3"/>
      <c r="CR1" s="3"/>
      <c r="CS1" s="3"/>
      <c r="CT1" s="3"/>
      <c r="CU1" s="3"/>
      <c r="CV1" s="3"/>
      <c r="CW1" s="3"/>
      <c r="CX1" s="3"/>
      <c r="CY1" s="3"/>
      <c r="CZ1" s="3"/>
    </row>
    <row r="2" spans="1:104" s="19" customFormat="1" ht="16" customHeight="1" x14ac:dyDescent="0.2">
      <c r="A2" s="58">
        <v>1</v>
      </c>
      <c r="B2" s="14" t="s">
        <v>1429</v>
      </c>
      <c r="C2" s="14" t="s">
        <v>79</v>
      </c>
      <c r="D2" s="15" t="s">
        <v>161</v>
      </c>
      <c r="E2" s="15"/>
      <c r="F2" s="15">
        <v>2007</v>
      </c>
      <c r="G2" s="20" t="s">
        <v>1452</v>
      </c>
      <c r="H2" s="24" t="s">
        <v>492</v>
      </c>
      <c r="I2" s="15" t="s">
        <v>8</v>
      </c>
      <c r="J2" s="16" t="s">
        <v>162</v>
      </c>
      <c r="K2" s="16" t="s">
        <v>1471</v>
      </c>
      <c r="L2" s="15" t="s">
        <v>32</v>
      </c>
      <c r="M2" s="15" t="s">
        <v>25</v>
      </c>
      <c r="N2" s="15" t="s">
        <v>201</v>
      </c>
      <c r="O2" s="15" t="s">
        <v>404</v>
      </c>
      <c r="P2" s="15" t="s">
        <v>333</v>
      </c>
      <c r="Q2" s="15" t="s">
        <v>313</v>
      </c>
      <c r="R2" s="20" t="s">
        <v>495</v>
      </c>
      <c r="S2" s="16" t="s">
        <v>532</v>
      </c>
      <c r="T2" s="15" t="s">
        <v>506</v>
      </c>
      <c r="U2" s="26" t="s">
        <v>354</v>
      </c>
      <c r="V2" s="57">
        <v>10</v>
      </c>
      <c r="W2" s="57" t="str">
        <f>+IF(V2&lt;6,"S","L")</f>
        <v>L</v>
      </c>
      <c r="X2" s="16" t="s">
        <v>530</v>
      </c>
      <c r="Y2" s="15" t="s">
        <v>388</v>
      </c>
      <c r="Z2" s="15" t="s">
        <v>33</v>
      </c>
      <c r="AA2" s="15" t="s">
        <v>405</v>
      </c>
      <c r="AB2" s="15" t="s">
        <v>354</v>
      </c>
      <c r="AC2" s="15">
        <v>10</v>
      </c>
      <c r="AD2" s="15" t="str">
        <f>+IF(AC2&lt;6,"S","L")</f>
        <v>L</v>
      </c>
      <c r="AE2" s="15" t="s">
        <v>13</v>
      </c>
      <c r="AF2" s="15" t="s">
        <v>14</v>
      </c>
      <c r="AG2" s="17">
        <v>50</v>
      </c>
      <c r="AH2" s="17">
        <v>24</v>
      </c>
      <c r="AI2" s="17">
        <v>24</v>
      </c>
      <c r="AJ2" s="17">
        <v>17</v>
      </c>
      <c r="AK2" s="17">
        <v>7</v>
      </c>
      <c r="AL2" s="47">
        <v>22</v>
      </c>
      <c r="AM2" s="17">
        <v>17</v>
      </c>
      <c r="AN2" s="47">
        <v>5</v>
      </c>
      <c r="AO2" s="47">
        <v>17</v>
      </c>
      <c r="AP2" s="17">
        <v>6</v>
      </c>
      <c r="AQ2" s="17">
        <v>11</v>
      </c>
      <c r="AR2" s="17"/>
      <c r="AS2" s="17"/>
      <c r="AT2" s="17"/>
      <c r="AU2" s="17"/>
      <c r="AV2" s="17"/>
      <c r="AW2" s="17"/>
      <c r="AX2" s="17">
        <v>6.8</v>
      </c>
      <c r="AY2" s="17"/>
      <c r="AZ2" s="17"/>
      <c r="BA2" s="17">
        <v>26</v>
      </c>
      <c r="BB2" s="17">
        <v>26</v>
      </c>
      <c r="BC2" s="17">
        <v>18</v>
      </c>
      <c r="BD2" s="17">
        <v>8</v>
      </c>
      <c r="BE2" s="47">
        <v>23</v>
      </c>
      <c r="BF2" s="17">
        <v>18</v>
      </c>
      <c r="BG2" s="47">
        <v>5</v>
      </c>
      <c r="BH2" s="17">
        <v>15</v>
      </c>
      <c r="BI2" s="17">
        <v>9</v>
      </c>
      <c r="BJ2" s="17">
        <v>6</v>
      </c>
      <c r="BK2" s="17"/>
      <c r="BL2" s="17"/>
      <c r="BM2" s="17"/>
      <c r="BN2" s="17"/>
      <c r="BO2" s="17"/>
      <c r="BP2" s="17"/>
      <c r="BQ2" s="17">
        <v>7.4</v>
      </c>
      <c r="BR2" s="17"/>
      <c r="BS2" s="17"/>
      <c r="BT2" s="17">
        <v>33</v>
      </c>
      <c r="BU2" s="46">
        <f t="shared" ref="BU2:BW2" si="0">33*0.151515151515152</f>
        <v>5.000000000000016</v>
      </c>
      <c r="BV2" s="46">
        <f t="shared" si="0"/>
        <v>5.000000000000016</v>
      </c>
      <c r="BW2" s="46">
        <f t="shared" si="0"/>
        <v>5.000000000000016</v>
      </c>
      <c r="BX2" s="46">
        <f>33*0.151515151515152</f>
        <v>5.000000000000016</v>
      </c>
      <c r="BY2" s="23"/>
      <c r="BZ2" s="46">
        <f>+BT2*0.0303030303030303</f>
        <v>0.99999999999999989</v>
      </c>
      <c r="CA2" s="46"/>
      <c r="CB2" s="27"/>
      <c r="CC2" s="27"/>
      <c r="CD2" s="17"/>
      <c r="CE2" s="17"/>
      <c r="CF2" s="17"/>
      <c r="CG2" s="17"/>
      <c r="CH2" s="17"/>
      <c r="CI2" s="17"/>
      <c r="CJ2" s="17"/>
      <c r="CK2" s="17"/>
      <c r="CL2" s="17"/>
      <c r="CM2" s="17"/>
      <c r="CN2" s="18"/>
      <c r="CO2" s="18"/>
      <c r="CP2" s="18"/>
      <c r="CQ2" s="18"/>
      <c r="CR2" s="18"/>
      <c r="CS2" s="18"/>
      <c r="CT2" s="18"/>
      <c r="CU2" s="18"/>
      <c r="CV2" s="18"/>
      <c r="CW2" s="18"/>
      <c r="CX2" s="18"/>
      <c r="CY2" s="18"/>
    </row>
    <row r="3" spans="1:104" s="25" customFormat="1" ht="16" customHeight="1" x14ac:dyDescent="0.2">
      <c r="A3" s="58">
        <v>2</v>
      </c>
      <c r="B3" s="14" t="s">
        <v>1429</v>
      </c>
      <c r="C3" s="14" t="s">
        <v>79</v>
      </c>
      <c r="D3" s="15" t="s">
        <v>188</v>
      </c>
      <c r="E3" s="15"/>
      <c r="F3" s="15">
        <v>2014</v>
      </c>
      <c r="G3" s="21" t="s">
        <v>1453</v>
      </c>
      <c r="H3" s="24" t="s">
        <v>493</v>
      </c>
      <c r="I3" s="15" t="s">
        <v>8</v>
      </c>
      <c r="J3" s="16" t="s">
        <v>189</v>
      </c>
      <c r="K3" s="16" t="s">
        <v>366</v>
      </c>
      <c r="L3" s="15" t="s">
        <v>68</v>
      </c>
      <c r="M3" s="15" t="s">
        <v>25</v>
      </c>
      <c r="N3" s="15" t="s">
        <v>201</v>
      </c>
      <c r="O3" s="15" t="s">
        <v>404</v>
      </c>
      <c r="P3" s="15" t="s">
        <v>221</v>
      </c>
      <c r="Q3" s="15" t="s">
        <v>313</v>
      </c>
      <c r="R3" s="20" t="s">
        <v>500</v>
      </c>
      <c r="S3" s="15" t="s">
        <v>21</v>
      </c>
      <c r="T3" s="15" t="s">
        <v>504</v>
      </c>
      <c r="U3" s="15">
        <v>7</v>
      </c>
      <c r="V3" s="57">
        <f t="shared" ref="V3:V60" si="1">+U3</f>
        <v>7</v>
      </c>
      <c r="W3" s="57" t="str">
        <f t="shared" ref="W3:W5" si="2">+IF(V3&lt;6,"S","L")</f>
        <v>L</v>
      </c>
      <c r="X3" s="16" t="s">
        <v>511</v>
      </c>
      <c r="Y3" s="15" t="s">
        <v>14</v>
      </c>
      <c r="Z3" s="15" t="s">
        <v>190</v>
      </c>
      <c r="AA3" s="16" t="s">
        <v>505</v>
      </c>
      <c r="AB3" s="15">
        <v>7</v>
      </c>
      <c r="AC3" s="15">
        <f t="shared" ref="AC3:AC60" si="3">+AB3</f>
        <v>7</v>
      </c>
      <c r="AD3" s="15" t="str">
        <f t="shared" ref="AD3:AD66" si="4">+IF(AC3&lt;6,"S","L")</f>
        <v>L</v>
      </c>
      <c r="AE3" s="16" t="s">
        <v>507</v>
      </c>
      <c r="AF3" s="15" t="s">
        <v>14</v>
      </c>
      <c r="AG3" s="17">
        <f>291+289</f>
        <v>580</v>
      </c>
      <c r="AH3" s="17">
        <v>291</v>
      </c>
      <c r="AI3" s="17">
        <v>291</v>
      </c>
      <c r="AJ3" s="17">
        <f>291-120</f>
        <v>171</v>
      </c>
      <c r="AK3" s="17">
        <v>120</v>
      </c>
      <c r="AL3" s="47"/>
      <c r="AM3" s="17"/>
      <c r="AN3" s="47"/>
      <c r="AO3" s="47"/>
      <c r="AP3" s="17"/>
      <c r="AQ3" s="17"/>
      <c r="AR3" s="17"/>
      <c r="AS3" s="17"/>
      <c r="AT3" s="17">
        <v>4</v>
      </c>
      <c r="AU3" s="17"/>
      <c r="AV3" s="17"/>
      <c r="AW3" s="17">
        <v>8</v>
      </c>
      <c r="AX3" s="17">
        <v>8</v>
      </c>
      <c r="AY3" s="17">
        <v>12</v>
      </c>
      <c r="AZ3" s="17">
        <v>47</v>
      </c>
      <c r="BA3" s="17">
        <v>143</v>
      </c>
      <c r="BB3" s="17"/>
      <c r="BC3" s="17"/>
      <c r="BD3" s="17"/>
      <c r="BE3" s="47"/>
      <c r="BF3" s="17"/>
      <c r="BG3" s="47"/>
      <c r="BH3" s="17"/>
      <c r="BI3" s="17"/>
      <c r="BJ3" s="17"/>
      <c r="BK3" s="17"/>
      <c r="BL3" s="17"/>
      <c r="BM3" s="17">
        <v>6</v>
      </c>
      <c r="BN3" s="17"/>
      <c r="BO3" s="17"/>
      <c r="BP3" s="17">
        <v>7</v>
      </c>
      <c r="BQ3" s="17">
        <v>8</v>
      </c>
      <c r="BR3" s="17">
        <v>14</v>
      </c>
      <c r="BS3" s="17">
        <v>37</v>
      </c>
      <c r="BT3" s="17"/>
      <c r="BU3" s="17"/>
      <c r="BV3" s="17"/>
      <c r="BW3" s="17"/>
      <c r="BX3" s="17"/>
      <c r="BY3" s="17"/>
      <c r="BZ3" s="17"/>
      <c r="CA3" s="17"/>
      <c r="CB3" s="17"/>
      <c r="CC3" s="27" t="s">
        <v>538</v>
      </c>
      <c r="CD3" s="17" t="s">
        <v>390</v>
      </c>
      <c r="CE3" s="17"/>
      <c r="CF3" s="17"/>
      <c r="CG3" s="17"/>
      <c r="CH3" s="17"/>
      <c r="CI3" s="17"/>
      <c r="CJ3" s="17"/>
      <c r="CK3" s="17"/>
      <c r="CL3" s="17"/>
      <c r="CM3" s="17"/>
      <c r="CN3" s="18"/>
      <c r="CO3" s="18"/>
      <c r="CP3" s="18"/>
      <c r="CQ3" s="18"/>
      <c r="CR3" s="18"/>
      <c r="CS3" s="18"/>
      <c r="CT3" s="18"/>
      <c r="CU3" s="18"/>
      <c r="CV3" s="18"/>
      <c r="CW3" s="18"/>
      <c r="CX3" s="18"/>
      <c r="CY3" s="18"/>
    </row>
    <row r="4" spans="1:104" s="25" customFormat="1" ht="17" customHeight="1" x14ac:dyDescent="0.2">
      <c r="A4" s="58">
        <v>3</v>
      </c>
      <c r="B4" s="14" t="s">
        <v>1429</v>
      </c>
      <c r="C4" s="14" t="s">
        <v>79</v>
      </c>
      <c r="D4" s="15" t="s">
        <v>157</v>
      </c>
      <c r="E4" s="15"/>
      <c r="F4" s="15">
        <v>2002</v>
      </c>
      <c r="G4" s="21" t="s">
        <v>508</v>
      </c>
      <c r="H4" s="24" t="s">
        <v>509</v>
      </c>
      <c r="I4" s="15" t="s">
        <v>8</v>
      </c>
      <c r="J4" s="16" t="s">
        <v>35</v>
      </c>
      <c r="K4" s="16" t="s">
        <v>1472</v>
      </c>
      <c r="L4" s="15" t="s">
        <v>68</v>
      </c>
      <c r="M4" s="15" t="s">
        <v>25</v>
      </c>
      <c r="N4" s="15" t="s">
        <v>201</v>
      </c>
      <c r="O4" s="15" t="s">
        <v>404</v>
      </c>
      <c r="P4" s="15" t="s">
        <v>221</v>
      </c>
      <c r="Q4" s="15" t="s">
        <v>313</v>
      </c>
      <c r="R4" s="21" t="s">
        <v>522</v>
      </c>
      <c r="S4" s="15" t="s">
        <v>158</v>
      </c>
      <c r="T4" s="16" t="s">
        <v>510</v>
      </c>
      <c r="U4" s="15">
        <v>10</v>
      </c>
      <c r="V4" s="57">
        <f t="shared" si="1"/>
        <v>10</v>
      </c>
      <c r="W4" s="57" t="str">
        <f t="shared" si="2"/>
        <v>L</v>
      </c>
      <c r="X4" s="16" t="s">
        <v>507</v>
      </c>
      <c r="Y4" s="15" t="s">
        <v>14</v>
      </c>
      <c r="Z4" s="15" t="s">
        <v>33</v>
      </c>
      <c r="AA4" s="15" t="s">
        <v>405</v>
      </c>
      <c r="AB4" s="15">
        <v>10</v>
      </c>
      <c r="AC4" s="15">
        <f t="shared" si="3"/>
        <v>10</v>
      </c>
      <c r="AD4" s="15" t="str">
        <f t="shared" si="4"/>
        <v>L</v>
      </c>
      <c r="AE4" s="15" t="s">
        <v>13</v>
      </c>
      <c r="AF4" s="15" t="s">
        <v>14</v>
      </c>
      <c r="AG4" s="17">
        <f>115+121</f>
        <v>236</v>
      </c>
      <c r="AH4" s="17">
        <v>121</v>
      </c>
      <c r="AI4" s="17">
        <v>121</v>
      </c>
      <c r="AJ4" s="17">
        <v>97</v>
      </c>
      <c r="AK4" s="17">
        <v>24</v>
      </c>
      <c r="AL4" s="47">
        <v>78</v>
      </c>
      <c r="AM4" s="17">
        <v>72</v>
      </c>
      <c r="AN4" s="47">
        <v>6</v>
      </c>
      <c r="AO4" s="47">
        <v>35</v>
      </c>
      <c r="AP4" s="17">
        <v>33</v>
      </c>
      <c r="AQ4" s="17"/>
      <c r="AR4" s="17"/>
      <c r="AS4" s="17">
        <v>11</v>
      </c>
      <c r="AT4" s="17"/>
      <c r="AU4" s="17">
        <v>7</v>
      </c>
      <c r="AV4" s="17"/>
      <c r="AW4" s="17">
        <v>4</v>
      </c>
      <c r="AX4" s="17"/>
      <c r="AY4" s="17"/>
      <c r="AZ4" s="17"/>
      <c r="BA4" s="17">
        <v>115</v>
      </c>
      <c r="BB4" s="17">
        <v>115</v>
      </c>
      <c r="BC4" s="17"/>
      <c r="BD4" s="17">
        <v>4</v>
      </c>
      <c r="BE4" s="47"/>
      <c r="BF4" s="17"/>
      <c r="BG4" s="47"/>
      <c r="BH4" s="17">
        <v>36</v>
      </c>
      <c r="BI4" s="17">
        <v>29</v>
      </c>
      <c r="BJ4" s="17"/>
      <c r="BK4" s="17"/>
      <c r="BL4" s="17">
        <v>6</v>
      </c>
      <c r="BM4" s="17"/>
      <c r="BN4" s="17">
        <v>1</v>
      </c>
      <c r="BO4" s="17"/>
      <c r="BP4" s="17">
        <v>2</v>
      </c>
      <c r="BQ4" s="17"/>
      <c r="BR4" s="17"/>
      <c r="BS4" s="17"/>
      <c r="BT4" s="17"/>
      <c r="BU4" s="17"/>
      <c r="BV4" s="17"/>
      <c r="BW4" s="17"/>
      <c r="BX4" s="17"/>
      <c r="BY4" s="17"/>
      <c r="BZ4" s="17"/>
      <c r="CA4" s="22" t="s">
        <v>588</v>
      </c>
      <c r="CB4" s="27" t="s">
        <v>589</v>
      </c>
      <c r="CC4" s="27" t="s">
        <v>390</v>
      </c>
      <c r="CD4" s="17"/>
      <c r="CE4" s="17"/>
      <c r="CF4" s="17"/>
      <c r="CG4" s="17"/>
      <c r="CH4" s="17"/>
      <c r="CI4" s="17"/>
      <c r="CJ4" s="17"/>
      <c r="CK4" s="17"/>
      <c r="CL4" s="17"/>
      <c r="CM4" s="17"/>
      <c r="CN4" s="18"/>
      <c r="CO4" s="18"/>
      <c r="CP4" s="18"/>
      <c r="CQ4" s="18"/>
      <c r="CR4" s="18"/>
      <c r="CS4" s="18"/>
      <c r="CT4" s="18"/>
      <c r="CU4" s="18"/>
      <c r="CV4" s="18"/>
      <c r="CW4" s="18"/>
      <c r="CX4" s="18"/>
      <c r="CY4" s="18"/>
    </row>
    <row r="5" spans="1:104" s="29" customFormat="1" ht="14" customHeight="1" x14ac:dyDescent="0.2">
      <c r="A5" s="58">
        <v>4</v>
      </c>
      <c r="B5" s="14" t="s">
        <v>1429</v>
      </c>
      <c r="C5" s="30" t="s">
        <v>79</v>
      </c>
      <c r="D5" s="31" t="s">
        <v>213</v>
      </c>
      <c r="E5" s="31"/>
      <c r="F5" s="31">
        <v>2002</v>
      </c>
      <c r="G5" s="32" t="s">
        <v>214</v>
      </c>
      <c r="H5" s="41" t="s">
        <v>526</v>
      </c>
      <c r="I5" s="31" t="s">
        <v>8</v>
      </c>
      <c r="J5" s="32" t="s">
        <v>38</v>
      </c>
      <c r="K5" s="32" t="s">
        <v>1473</v>
      </c>
      <c r="L5" s="15" t="s">
        <v>68</v>
      </c>
      <c r="M5" s="15" t="s">
        <v>25</v>
      </c>
      <c r="N5" s="31" t="s">
        <v>201</v>
      </c>
      <c r="O5" s="31" t="s">
        <v>404</v>
      </c>
      <c r="P5" s="31" t="s">
        <v>333</v>
      </c>
      <c r="Q5" s="33" t="s">
        <v>313</v>
      </c>
      <c r="R5" s="42" t="s">
        <v>527</v>
      </c>
      <c r="S5" s="31" t="s">
        <v>40</v>
      </c>
      <c r="T5" s="32" t="s">
        <v>528</v>
      </c>
      <c r="U5" s="31" t="s">
        <v>354</v>
      </c>
      <c r="V5" s="57">
        <v>10</v>
      </c>
      <c r="W5" s="57" t="str">
        <f t="shared" si="2"/>
        <v>L</v>
      </c>
      <c r="X5" s="31" t="s">
        <v>13</v>
      </c>
      <c r="Y5" s="31" t="s">
        <v>14</v>
      </c>
      <c r="Z5" s="31" t="s">
        <v>531</v>
      </c>
      <c r="AA5" s="32" t="s">
        <v>529</v>
      </c>
      <c r="AB5" s="31" t="s">
        <v>354</v>
      </c>
      <c r="AC5" s="15">
        <v>10</v>
      </c>
      <c r="AD5" s="15" t="str">
        <f t="shared" si="4"/>
        <v>L</v>
      </c>
      <c r="AE5" s="31" t="s">
        <v>131</v>
      </c>
      <c r="AF5" s="31" t="s">
        <v>388</v>
      </c>
      <c r="AG5" s="33">
        <f>301+321</f>
        <v>622</v>
      </c>
      <c r="AH5" s="33">
        <v>301</v>
      </c>
      <c r="AI5" s="33">
        <v>301</v>
      </c>
      <c r="AJ5" s="33"/>
      <c r="AK5" s="33"/>
      <c r="AL5" s="44">
        <f>+AM5/0.934</f>
        <v>258.02997858672376</v>
      </c>
      <c r="AM5" s="33">
        <v>241</v>
      </c>
      <c r="AN5" s="44">
        <f>+AL5-AM5</f>
        <v>17.029978586723757</v>
      </c>
      <c r="AO5" s="44">
        <v>64</v>
      </c>
      <c r="AP5" s="33">
        <v>60</v>
      </c>
      <c r="AQ5" s="33">
        <v>4</v>
      </c>
      <c r="AR5" s="33"/>
      <c r="AS5" s="33"/>
      <c r="AT5" s="33">
        <v>117</v>
      </c>
      <c r="AU5" s="33">
        <v>38</v>
      </c>
      <c r="AV5" s="33"/>
      <c r="AW5" s="33">
        <v>9</v>
      </c>
      <c r="AX5" s="33">
        <v>9.49</v>
      </c>
      <c r="AY5" s="33"/>
      <c r="AZ5" s="33"/>
      <c r="BA5" s="33">
        <v>321</v>
      </c>
      <c r="BB5" s="33">
        <v>321</v>
      </c>
      <c r="BC5" s="33"/>
      <c r="BD5" s="33"/>
      <c r="BE5" s="44">
        <f>+BF5/0.854</f>
        <v>279.85948477751759</v>
      </c>
      <c r="BF5" s="33">
        <v>239</v>
      </c>
      <c r="BG5" s="44">
        <f>+BE5-BF5</f>
        <v>40.859484777517594</v>
      </c>
      <c r="BH5" s="44">
        <v>71</v>
      </c>
      <c r="BI5" s="33">
        <v>58</v>
      </c>
      <c r="BJ5" s="44">
        <f>+BH5-BI5</f>
        <v>13</v>
      </c>
      <c r="BK5" s="33"/>
      <c r="BL5" s="33"/>
      <c r="BM5" s="33">
        <v>125</v>
      </c>
      <c r="BN5" s="33">
        <v>53</v>
      </c>
      <c r="BO5" s="33"/>
      <c r="BP5" s="33">
        <v>17</v>
      </c>
      <c r="BQ5" s="33">
        <v>10.41</v>
      </c>
      <c r="BR5" s="33"/>
      <c r="BS5" s="33"/>
      <c r="BT5" s="33">
        <v>194</v>
      </c>
      <c r="BU5" s="44">
        <f>+BT5*0.554</f>
        <v>107.47600000000001</v>
      </c>
      <c r="BV5" s="44">
        <f>0.196*BT5</f>
        <v>38.024000000000001</v>
      </c>
      <c r="BW5" s="33"/>
      <c r="BX5" s="34"/>
      <c r="BY5" s="34"/>
      <c r="BZ5" s="45">
        <f>45</f>
        <v>45</v>
      </c>
      <c r="CA5" s="45"/>
      <c r="CB5" s="33"/>
      <c r="CC5" s="33"/>
      <c r="CD5" s="33"/>
      <c r="CE5" s="33"/>
      <c r="CF5" s="33"/>
      <c r="CG5" s="33"/>
      <c r="CH5" s="33"/>
      <c r="CI5" s="33"/>
      <c r="CJ5" s="33"/>
      <c r="CK5" s="33"/>
      <c r="CL5" s="33"/>
      <c r="CM5" s="33"/>
      <c r="CN5" s="35"/>
      <c r="CO5" s="35"/>
      <c r="CP5" s="35"/>
      <c r="CQ5" s="35"/>
      <c r="CR5" s="35"/>
      <c r="CS5" s="35"/>
      <c r="CT5" s="35"/>
      <c r="CU5" s="35"/>
      <c r="CV5" s="35"/>
      <c r="CW5" s="35"/>
      <c r="CX5" s="35"/>
      <c r="CY5" s="35"/>
    </row>
    <row r="6" spans="1:104" s="36" customFormat="1" ht="14" customHeight="1" x14ac:dyDescent="0.2">
      <c r="A6" s="58">
        <v>5</v>
      </c>
      <c r="B6" s="14" t="s">
        <v>1429</v>
      </c>
      <c r="C6" s="30" t="s">
        <v>79</v>
      </c>
      <c r="D6" s="31" t="s">
        <v>133</v>
      </c>
      <c r="E6" s="31"/>
      <c r="F6" s="31">
        <v>2005</v>
      </c>
      <c r="G6" s="32" t="s">
        <v>228</v>
      </c>
      <c r="H6" s="41" t="s">
        <v>533</v>
      </c>
      <c r="I6" s="31" t="s">
        <v>8</v>
      </c>
      <c r="J6" s="32" t="s">
        <v>66</v>
      </c>
      <c r="K6" s="32" t="s">
        <v>366</v>
      </c>
      <c r="L6" s="31" t="s">
        <v>31</v>
      </c>
      <c r="M6" s="15" t="s">
        <v>25</v>
      </c>
      <c r="N6" s="31" t="s">
        <v>201</v>
      </c>
      <c r="O6" s="31" t="s">
        <v>404</v>
      </c>
      <c r="P6" s="31" t="s">
        <v>285</v>
      </c>
      <c r="Q6" s="33" t="s">
        <v>313</v>
      </c>
      <c r="R6" s="42" t="s">
        <v>534</v>
      </c>
      <c r="S6" s="31" t="s">
        <v>40</v>
      </c>
      <c r="T6" s="31" t="s">
        <v>41</v>
      </c>
      <c r="U6" s="31" t="s">
        <v>317</v>
      </c>
      <c r="V6" s="57">
        <v>4</v>
      </c>
      <c r="W6" s="57" t="str">
        <f>+IF(V6&lt;6,"S","L")</f>
        <v>S</v>
      </c>
      <c r="X6" s="31" t="s">
        <v>13</v>
      </c>
      <c r="Y6" s="31" t="s">
        <v>14</v>
      </c>
      <c r="Z6" s="31" t="s">
        <v>134</v>
      </c>
      <c r="AA6" s="31" t="s">
        <v>135</v>
      </c>
      <c r="AB6" s="31" t="s">
        <v>317</v>
      </c>
      <c r="AC6" s="15">
        <v>4</v>
      </c>
      <c r="AD6" s="15" t="str">
        <f t="shared" si="4"/>
        <v>S</v>
      </c>
      <c r="AE6" s="32" t="s">
        <v>530</v>
      </c>
      <c r="AF6" s="31" t="s">
        <v>14</v>
      </c>
      <c r="AG6" s="33">
        <v>349</v>
      </c>
      <c r="AH6" s="33">
        <v>174</v>
      </c>
      <c r="AI6" s="33">
        <v>171</v>
      </c>
      <c r="AJ6" s="33">
        <v>142</v>
      </c>
      <c r="AK6" s="33">
        <f>+AI6-AJ6</f>
        <v>29</v>
      </c>
      <c r="AL6" s="44">
        <v>151</v>
      </c>
      <c r="AM6" s="33">
        <v>131</v>
      </c>
      <c r="AN6" s="44">
        <f>+AL6-AM6</f>
        <v>20</v>
      </c>
      <c r="AO6" s="44">
        <v>30</v>
      </c>
      <c r="AP6" s="33">
        <v>23</v>
      </c>
      <c r="AQ6" s="33">
        <f>+AO6-AP6</f>
        <v>7</v>
      </c>
      <c r="AR6" s="33"/>
      <c r="AS6" s="33">
        <v>100</v>
      </c>
      <c r="AT6" s="33">
        <v>42</v>
      </c>
      <c r="AU6" s="33">
        <v>30</v>
      </c>
      <c r="AV6" s="33"/>
      <c r="AW6" s="33">
        <v>6</v>
      </c>
      <c r="AX6" s="33"/>
      <c r="AY6" s="33"/>
      <c r="AZ6" s="33"/>
      <c r="BA6" s="33">
        <v>175</v>
      </c>
      <c r="BB6" s="33">
        <v>175</v>
      </c>
      <c r="BC6" s="33">
        <v>136</v>
      </c>
      <c r="BD6" s="33">
        <v>39</v>
      </c>
      <c r="BE6" s="44">
        <v>138</v>
      </c>
      <c r="BF6" s="33">
        <v>120</v>
      </c>
      <c r="BG6" s="44">
        <f>+BE6-BF6</f>
        <v>18</v>
      </c>
      <c r="BH6" s="33">
        <v>31</v>
      </c>
      <c r="BI6" s="33">
        <v>23</v>
      </c>
      <c r="BJ6" s="33">
        <f>+BH6-BI6</f>
        <v>8</v>
      </c>
      <c r="BK6" s="33"/>
      <c r="BL6" s="33">
        <v>111</v>
      </c>
      <c r="BM6" s="33">
        <v>50</v>
      </c>
      <c r="BN6" s="33">
        <v>32</v>
      </c>
      <c r="BO6" s="33"/>
      <c r="BP6" s="33">
        <v>7</v>
      </c>
      <c r="BQ6" s="33"/>
      <c r="BR6" s="33"/>
      <c r="BS6" s="33"/>
      <c r="BT6" s="33">
        <v>66</v>
      </c>
      <c r="BU6" s="45">
        <f>46</f>
        <v>46</v>
      </c>
      <c r="BV6" s="45">
        <f>9</f>
        <v>9</v>
      </c>
      <c r="BW6" s="45">
        <f>4</f>
        <v>4</v>
      </c>
      <c r="BX6" s="34"/>
      <c r="BY6" s="34"/>
      <c r="BZ6" s="34"/>
      <c r="CA6" s="34"/>
      <c r="CB6" s="33"/>
      <c r="CC6" s="33"/>
      <c r="CD6" s="33"/>
      <c r="CE6" s="33"/>
      <c r="CF6" s="33"/>
      <c r="CG6" s="33"/>
      <c r="CH6" s="33"/>
      <c r="CI6" s="33"/>
      <c r="CJ6" s="33"/>
      <c r="CK6" s="33"/>
      <c r="CL6" s="33"/>
      <c r="CM6" s="33"/>
      <c r="CN6" s="35"/>
      <c r="CO6" s="35"/>
      <c r="CP6" s="35"/>
      <c r="CQ6" s="35"/>
      <c r="CR6" s="35"/>
      <c r="CS6" s="35"/>
      <c r="CT6" s="35"/>
      <c r="CU6" s="35"/>
      <c r="CV6" s="35"/>
      <c r="CW6" s="35"/>
      <c r="CX6" s="35"/>
      <c r="CY6" s="35"/>
    </row>
    <row r="7" spans="1:104" s="36" customFormat="1" x14ac:dyDescent="0.2">
      <c r="A7" s="58">
        <v>6</v>
      </c>
      <c r="B7" s="14" t="s">
        <v>1429</v>
      </c>
      <c r="C7" s="30" t="s">
        <v>79</v>
      </c>
      <c r="D7" s="31" t="s">
        <v>132</v>
      </c>
      <c r="E7" s="31"/>
      <c r="F7" s="31">
        <v>2001</v>
      </c>
      <c r="G7" s="32" t="s">
        <v>341</v>
      </c>
      <c r="H7" s="41" t="s">
        <v>523</v>
      </c>
      <c r="I7" s="31" t="s">
        <v>8</v>
      </c>
      <c r="J7" s="32" t="s">
        <v>38</v>
      </c>
      <c r="K7" s="32" t="s">
        <v>1473</v>
      </c>
      <c r="L7" s="31" t="s">
        <v>31</v>
      </c>
      <c r="M7" s="31" t="s">
        <v>333</v>
      </c>
      <c r="N7" s="31" t="s">
        <v>201</v>
      </c>
      <c r="O7" s="31" t="s">
        <v>404</v>
      </c>
      <c r="P7" s="31" t="s">
        <v>285</v>
      </c>
      <c r="Q7" s="33" t="s">
        <v>313</v>
      </c>
      <c r="R7" s="32" t="s">
        <v>342</v>
      </c>
      <c r="S7" s="31" t="s">
        <v>40</v>
      </c>
      <c r="T7" s="31" t="s">
        <v>41</v>
      </c>
      <c r="U7" s="31">
        <v>10</v>
      </c>
      <c r="V7" s="57">
        <f t="shared" si="1"/>
        <v>10</v>
      </c>
      <c r="W7" s="57" t="str">
        <f t="shared" ref="W7:W70" si="5">+IF(V7&lt;6,"S","L")</f>
        <v>L</v>
      </c>
      <c r="X7" s="31" t="s">
        <v>13</v>
      </c>
      <c r="Y7" s="31" t="s">
        <v>14</v>
      </c>
      <c r="Z7" s="31" t="s">
        <v>23</v>
      </c>
      <c r="AA7" s="31" t="s">
        <v>343</v>
      </c>
      <c r="AB7" s="31">
        <v>10</v>
      </c>
      <c r="AC7" s="15">
        <f t="shared" si="3"/>
        <v>10</v>
      </c>
      <c r="AD7" s="15" t="str">
        <f t="shared" si="4"/>
        <v>L</v>
      </c>
      <c r="AE7" s="31" t="s">
        <v>131</v>
      </c>
      <c r="AF7" s="31" t="s">
        <v>388</v>
      </c>
      <c r="AG7" s="33">
        <v>411</v>
      </c>
      <c r="AH7" s="33">
        <v>203</v>
      </c>
      <c r="AI7" s="33">
        <v>200</v>
      </c>
      <c r="AJ7" s="33">
        <v>173</v>
      </c>
      <c r="AK7" s="33">
        <f>+AI7-AJ7</f>
        <v>27</v>
      </c>
      <c r="AL7" s="44">
        <v>177</v>
      </c>
      <c r="AM7" s="33">
        <v>162</v>
      </c>
      <c r="AN7" s="44">
        <f>+AL7-AM7</f>
        <v>15</v>
      </c>
      <c r="AO7" s="44">
        <v>49</v>
      </c>
      <c r="AP7" s="33">
        <v>43</v>
      </c>
      <c r="AQ7" s="33">
        <v>6</v>
      </c>
      <c r="AR7" s="33"/>
      <c r="AS7" s="33"/>
      <c r="AT7" s="33">
        <v>56</v>
      </c>
      <c r="AU7" s="33">
        <v>23</v>
      </c>
      <c r="AV7" s="33"/>
      <c r="AW7" s="33">
        <v>3</v>
      </c>
      <c r="AX7" s="33"/>
      <c r="AY7" s="33"/>
      <c r="AZ7" s="33"/>
      <c r="BA7" s="33">
        <v>208</v>
      </c>
      <c r="BB7" s="33">
        <v>208</v>
      </c>
      <c r="BC7" s="33">
        <v>171</v>
      </c>
      <c r="BD7" s="33">
        <v>37</v>
      </c>
      <c r="BE7" s="44">
        <v>185</v>
      </c>
      <c r="BF7" s="33">
        <v>166</v>
      </c>
      <c r="BG7" s="44">
        <f>+BE7-BF7</f>
        <v>19</v>
      </c>
      <c r="BH7" s="33">
        <v>49</v>
      </c>
      <c r="BI7" s="33">
        <v>43</v>
      </c>
      <c r="BJ7" s="33">
        <f>+BH7-BI7</f>
        <v>6</v>
      </c>
      <c r="BK7" s="33"/>
      <c r="BL7" s="33"/>
      <c r="BM7" s="33">
        <v>42</v>
      </c>
      <c r="BN7" s="33">
        <v>19</v>
      </c>
      <c r="BO7" s="33"/>
      <c r="BP7" s="33">
        <v>4</v>
      </c>
      <c r="BQ7" s="33"/>
      <c r="BR7" s="33"/>
      <c r="BS7" s="33"/>
      <c r="BT7" s="33">
        <v>126</v>
      </c>
      <c r="BU7" s="45">
        <v>84</v>
      </c>
      <c r="BV7" s="45">
        <v>27</v>
      </c>
      <c r="BW7" s="33"/>
      <c r="BX7" s="33"/>
      <c r="BY7" s="33"/>
      <c r="BZ7" s="33"/>
      <c r="CA7" s="33"/>
      <c r="CB7" s="43" t="s">
        <v>586</v>
      </c>
      <c r="CC7" s="33"/>
      <c r="CD7" s="33"/>
      <c r="CE7" s="33"/>
      <c r="CF7" s="33"/>
      <c r="CG7" s="33"/>
      <c r="CH7" s="33"/>
      <c r="CI7" s="33"/>
      <c r="CJ7" s="33"/>
      <c r="CK7" s="33"/>
      <c r="CL7" s="33"/>
      <c r="CM7" s="33"/>
      <c r="CN7" s="35"/>
      <c r="CO7" s="35"/>
      <c r="CP7" s="35"/>
      <c r="CQ7" s="35"/>
      <c r="CR7" s="35"/>
      <c r="CS7" s="35"/>
      <c r="CT7" s="35"/>
      <c r="CU7" s="35"/>
      <c r="CV7" s="35"/>
      <c r="CW7" s="35"/>
      <c r="CX7" s="35"/>
      <c r="CY7" s="35"/>
    </row>
    <row r="8" spans="1:104" s="36" customFormat="1" ht="15" customHeight="1" x14ac:dyDescent="0.2">
      <c r="A8" s="58">
        <v>7</v>
      </c>
      <c r="B8" s="14" t="s">
        <v>1429</v>
      </c>
      <c r="C8" s="30" t="s">
        <v>79</v>
      </c>
      <c r="D8" s="31" t="s">
        <v>187</v>
      </c>
      <c r="E8" s="31"/>
      <c r="F8" s="31">
        <v>2005</v>
      </c>
      <c r="G8" s="32" t="s">
        <v>223</v>
      </c>
      <c r="H8" s="41" t="s">
        <v>523</v>
      </c>
      <c r="I8" s="31" t="s">
        <v>8</v>
      </c>
      <c r="J8" s="32" t="s">
        <v>547</v>
      </c>
      <c r="K8" s="32" t="s">
        <v>366</v>
      </c>
      <c r="L8" s="31" t="s">
        <v>32</v>
      </c>
      <c r="M8" s="15" t="s">
        <v>25</v>
      </c>
      <c r="N8" s="31" t="s">
        <v>201</v>
      </c>
      <c r="O8" s="31" t="s">
        <v>404</v>
      </c>
      <c r="P8" s="31" t="s">
        <v>333</v>
      </c>
      <c r="Q8" s="33" t="s">
        <v>313</v>
      </c>
      <c r="R8" s="42" t="s">
        <v>546</v>
      </c>
      <c r="S8" s="31" t="s">
        <v>40</v>
      </c>
      <c r="T8" s="31" t="s">
        <v>41</v>
      </c>
      <c r="U8" s="31" t="s">
        <v>354</v>
      </c>
      <c r="V8" s="57">
        <v>10</v>
      </c>
      <c r="W8" s="57" t="str">
        <f t="shared" si="5"/>
        <v>L</v>
      </c>
      <c r="X8" s="31" t="s">
        <v>13</v>
      </c>
      <c r="Y8" s="31" t="s">
        <v>14</v>
      </c>
      <c r="Z8" s="31" t="s">
        <v>219</v>
      </c>
      <c r="AA8" s="31" t="s">
        <v>220</v>
      </c>
      <c r="AB8" s="31" t="s">
        <v>354</v>
      </c>
      <c r="AC8" s="15">
        <v>10</v>
      </c>
      <c r="AD8" s="15" t="str">
        <f t="shared" si="4"/>
        <v>L</v>
      </c>
      <c r="AE8" s="32" t="s">
        <v>507</v>
      </c>
      <c r="AF8" s="31" t="s">
        <v>14</v>
      </c>
      <c r="AG8" s="33">
        <v>397</v>
      </c>
      <c r="AH8" s="33">
        <v>200</v>
      </c>
      <c r="AI8" s="33">
        <f>+AJ8+AK8</f>
        <v>200</v>
      </c>
      <c r="AJ8" s="33">
        <v>163</v>
      </c>
      <c r="AK8" s="33">
        <f>20+17</f>
        <v>37</v>
      </c>
      <c r="AL8" s="44">
        <v>161</v>
      </c>
      <c r="AM8" s="33">
        <v>141</v>
      </c>
      <c r="AN8" s="44">
        <v>20</v>
      </c>
      <c r="AO8" s="44"/>
      <c r="AP8" s="33"/>
      <c r="AQ8" s="33"/>
      <c r="AR8" s="33"/>
      <c r="AS8" s="33">
        <v>114</v>
      </c>
      <c r="AT8" s="33">
        <v>65</v>
      </c>
      <c r="AU8" s="33">
        <v>31</v>
      </c>
      <c r="AV8" s="33"/>
      <c r="AW8" s="33">
        <v>6</v>
      </c>
      <c r="AX8" s="33">
        <v>9</v>
      </c>
      <c r="AY8" s="33"/>
      <c r="AZ8" s="33"/>
      <c r="BA8" s="33">
        <v>197</v>
      </c>
      <c r="BB8" s="33">
        <v>197</v>
      </c>
      <c r="BC8" s="33">
        <v>162</v>
      </c>
      <c r="BD8" s="33">
        <v>35</v>
      </c>
      <c r="BE8" s="44">
        <v>156</v>
      </c>
      <c r="BF8" s="33">
        <v>138</v>
      </c>
      <c r="BG8" s="44">
        <v>18</v>
      </c>
      <c r="BH8" s="33"/>
      <c r="BI8" s="33"/>
      <c r="BJ8" s="33"/>
      <c r="BK8" s="33"/>
      <c r="BL8" s="33">
        <v>125</v>
      </c>
      <c r="BM8" s="33">
        <v>76</v>
      </c>
      <c r="BN8" s="33">
        <v>29</v>
      </c>
      <c r="BO8" s="33"/>
      <c r="BP8" s="33">
        <v>7</v>
      </c>
      <c r="BQ8" s="33">
        <v>11</v>
      </c>
      <c r="BR8" s="33"/>
      <c r="BS8" s="33"/>
      <c r="BT8" s="33"/>
      <c r="BU8" s="33"/>
      <c r="BV8" s="33"/>
      <c r="BW8" s="33"/>
      <c r="BX8" s="33"/>
      <c r="BY8" s="33"/>
      <c r="BZ8" s="33"/>
      <c r="CA8" s="33"/>
      <c r="CB8" s="33"/>
      <c r="CC8" s="33"/>
      <c r="CD8" s="33"/>
      <c r="CE8" s="33"/>
      <c r="CF8" s="33"/>
      <c r="CG8" s="33"/>
      <c r="CH8" s="33"/>
      <c r="CI8" s="33"/>
      <c r="CJ8" s="33"/>
      <c r="CK8" s="33"/>
      <c r="CL8" s="33"/>
      <c r="CM8" s="33"/>
      <c r="CN8" s="35"/>
      <c r="CO8" s="35"/>
      <c r="CP8" s="35"/>
      <c r="CQ8" s="35"/>
      <c r="CR8" s="35"/>
      <c r="CS8" s="35"/>
      <c r="CT8" s="35"/>
      <c r="CU8" s="35"/>
      <c r="CV8" s="35"/>
      <c r="CW8" s="35"/>
      <c r="CX8" s="35"/>
      <c r="CY8" s="35"/>
    </row>
    <row r="9" spans="1:104" s="36" customFormat="1" x14ac:dyDescent="0.2">
      <c r="A9" s="58">
        <v>8</v>
      </c>
      <c r="B9" s="14" t="s">
        <v>1429</v>
      </c>
      <c r="C9" s="30" t="s">
        <v>79</v>
      </c>
      <c r="D9" s="31" t="s">
        <v>191</v>
      </c>
      <c r="E9" s="31"/>
      <c r="F9" s="31">
        <v>2008</v>
      </c>
      <c r="G9" s="32" t="s">
        <v>215</v>
      </c>
      <c r="H9" s="41" t="s">
        <v>524</v>
      </c>
      <c r="I9" s="31" t="s">
        <v>8</v>
      </c>
      <c r="J9" s="32" t="s">
        <v>192</v>
      </c>
      <c r="K9" s="32" t="s">
        <v>1473</v>
      </c>
      <c r="L9" s="15" t="s">
        <v>68</v>
      </c>
      <c r="M9" s="15" t="s">
        <v>25</v>
      </c>
      <c r="N9" s="31" t="s">
        <v>201</v>
      </c>
      <c r="O9" s="31" t="s">
        <v>404</v>
      </c>
      <c r="P9" s="31" t="s">
        <v>221</v>
      </c>
      <c r="Q9" s="33" t="s">
        <v>313</v>
      </c>
      <c r="R9" s="32"/>
      <c r="S9" s="31" t="s">
        <v>40</v>
      </c>
      <c r="T9" s="31" t="s">
        <v>41</v>
      </c>
      <c r="U9" s="31" t="s">
        <v>354</v>
      </c>
      <c r="V9" s="57">
        <v>10</v>
      </c>
      <c r="W9" s="57" t="str">
        <f t="shared" si="5"/>
        <v>L</v>
      </c>
      <c r="X9" s="31" t="s">
        <v>13</v>
      </c>
      <c r="Y9" s="31" t="s">
        <v>388</v>
      </c>
      <c r="Z9" s="31" t="s">
        <v>549</v>
      </c>
      <c r="AA9" s="31" t="s">
        <v>550</v>
      </c>
      <c r="AB9" s="31" t="s">
        <v>354</v>
      </c>
      <c r="AC9" s="15">
        <v>10</v>
      </c>
      <c r="AD9" s="15" t="str">
        <f t="shared" si="4"/>
        <v>L</v>
      </c>
      <c r="AE9" s="31" t="s">
        <v>16</v>
      </c>
      <c r="AF9" s="31" t="s">
        <v>14</v>
      </c>
      <c r="AG9" s="33">
        <v>738</v>
      </c>
      <c r="AH9" s="33">
        <v>371</v>
      </c>
      <c r="AI9" s="33">
        <v>368</v>
      </c>
      <c r="AJ9" s="33">
        <v>293</v>
      </c>
      <c r="AK9" s="33">
        <f t="shared" ref="AK9:AK14" si="6">+AI9-AJ9</f>
        <v>75</v>
      </c>
      <c r="AL9" s="44">
        <v>291</v>
      </c>
      <c r="AM9" s="33">
        <v>253</v>
      </c>
      <c r="AN9" s="44">
        <f>+AL9-AM9</f>
        <v>38</v>
      </c>
      <c r="AO9" s="44">
        <v>127</v>
      </c>
      <c r="AP9" s="33">
        <v>114</v>
      </c>
      <c r="AQ9" s="33">
        <f>+AO9-AP9</f>
        <v>13</v>
      </c>
      <c r="AR9" s="33"/>
      <c r="AS9" s="33">
        <v>208</v>
      </c>
      <c r="AT9" s="33"/>
      <c r="AU9" s="33"/>
      <c r="AV9" s="33"/>
      <c r="AW9" s="33">
        <v>18</v>
      </c>
      <c r="AX9" s="33"/>
      <c r="AY9" s="33">
        <v>25</v>
      </c>
      <c r="AZ9" s="33"/>
      <c r="BA9" s="33">
        <v>367</v>
      </c>
      <c r="BB9" s="33">
        <v>365</v>
      </c>
      <c r="BC9" s="33">
        <v>306</v>
      </c>
      <c r="BD9" s="33">
        <v>59</v>
      </c>
      <c r="BE9" s="44">
        <v>278</v>
      </c>
      <c r="BF9" s="33">
        <v>250</v>
      </c>
      <c r="BG9" s="44">
        <f>+BE9-BF9</f>
        <v>28</v>
      </c>
      <c r="BH9" s="33">
        <v>123</v>
      </c>
      <c r="BI9" s="33">
        <v>110</v>
      </c>
      <c r="BJ9" s="33">
        <f>+BH9-BI9</f>
        <v>13</v>
      </c>
      <c r="BK9" s="33"/>
      <c r="BL9" s="33">
        <v>193</v>
      </c>
      <c r="BM9" s="33"/>
      <c r="BN9" s="33"/>
      <c r="BO9" s="33"/>
      <c r="BP9" s="33">
        <v>12</v>
      </c>
      <c r="BQ9" s="33"/>
      <c r="BR9" s="33">
        <v>30</v>
      </c>
      <c r="BS9" s="33"/>
      <c r="BT9" s="33">
        <f>37+47+20+10</f>
        <v>114</v>
      </c>
      <c r="BU9" s="33">
        <f>32+45</f>
        <v>77</v>
      </c>
      <c r="BV9" s="33">
        <v>18</v>
      </c>
      <c r="BW9" s="33"/>
      <c r="BX9" s="33"/>
      <c r="BY9" s="33"/>
      <c r="BZ9" s="33"/>
      <c r="CA9" s="33"/>
      <c r="CB9" s="33"/>
      <c r="CC9" s="33"/>
      <c r="CD9" s="33"/>
      <c r="CE9" s="33"/>
      <c r="CF9" s="33"/>
      <c r="CG9" s="33"/>
      <c r="CH9" s="33"/>
      <c r="CI9" s="33"/>
      <c r="CJ9" s="33"/>
      <c r="CK9" s="33"/>
      <c r="CL9" s="33"/>
      <c r="CM9" s="33"/>
      <c r="CN9" s="35"/>
      <c r="CO9" s="35"/>
      <c r="CP9" s="35"/>
      <c r="CQ9" s="35"/>
      <c r="CR9" s="35"/>
      <c r="CS9" s="35"/>
      <c r="CT9" s="35"/>
      <c r="CU9" s="35"/>
      <c r="CV9" s="35"/>
      <c r="CW9" s="35"/>
      <c r="CX9" s="35"/>
      <c r="CY9" s="35"/>
    </row>
    <row r="10" spans="1:104" s="36" customFormat="1" ht="13" customHeight="1" x14ac:dyDescent="0.2">
      <c r="A10" s="58">
        <v>9</v>
      </c>
      <c r="B10" s="14" t="s">
        <v>1429</v>
      </c>
      <c r="C10" s="30" t="s">
        <v>79</v>
      </c>
      <c r="D10" s="31" t="s">
        <v>182</v>
      </c>
      <c r="E10" s="31"/>
      <c r="F10" s="31">
        <v>2006</v>
      </c>
      <c r="G10" s="42" t="s">
        <v>562</v>
      </c>
      <c r="H10" s="41" t="s">
        <v>525</v>
      </c>
      <c r="I10" s="31" t="s">
        <v>8</v>
      </c>
      <c r="J10" s="32" t="s">
        <v>36</v>
      </c>
      <c r="K10" s="32" t="s">
        <v>1471</v>
      </c>
      <c r="L10" s="15" t="s">
        <v>68</v>
      </c>
      <c r="M10" s="15" t="s">
        <v>25</v>
      </c>
      <c r="N10" s="31" t="s">
        <v>201</v>
      </c>
      <c r="O10" s="31" t="s">
        <v>404</v>
      </c>
      <c r="P10" s="31" t="s">
        <v>333</v>
      </c>
      <c r="Q10" s="33" t="s">
        <v>313</v>
      </c>
      <c r="R10" s="42" t="s">
        <v>551</v>
      </c>
      <c r="S10" s="31" t="s">
        <v>40</v>
      </c>
      <c r="T10" s="31" t="s">
        <v>41</v>
      </c>
      <c r="U10" s="31" t="s">
        <v>354</v>
      </c>
      <c r="V10" s="57">
        <v>10</v>
      </c>
      <c r="W10" s="57" t="str">
        <f t="shared" si="5"/>
        <v>L</v>
      </c>
      <c r="X10" s="31" t="s">
        <v>13</v>
      </c>
      <c r="Y10" s="31" t="s">
        <v>14</v>
      </c>
      <c r="Z10" s="31" t="s">
        <v>183</v>
      </c>
      <c r="AA10" s="31" t="s">
        <v>184</v>
      </c>
      <c r="AB10" s="31" t="s">
        <v>354</v>
      </c>
      <c r="AC10" s="15">
        <v>10</v>
      </c>
      <c r="AD10" s="15" t="str">
        <f t="shared" si="4"/>
        <v>L</v>
      </c>
      <c r="AE10" s="32" t="s">
        <v>507</v>
      </c>
      <c r="AF10" s="31" t="s">
        <v>14</v>
      </c>
      <c r="AG10" s="33">
        <v>40</v>
      </c>
      <c r="AH10" s="33">
        <v>20</v>
      </c>
      <c r="AI10" s="33">
        <v>20</v>
      </c>
      <c r="AJ10" s="33">
        <v>18</v>
      </c>
      <c r="AK10" s="33">
        <f t="shared" si="6"/>
        <v>2</v>
      </c>
      <c r="AL10" s="44"/>
      <c r="AM10" s="33"/>
      <c r="AN10" s="44"/>
      <c r="AO10" s="44">
        <v>10</v>
      </c>
      <c r="AP10" s="33">
        <f>+AO10*0.9</f>
        <v>9</v>
      </c>
      <c r="AQ10" s="33">
        <v>1</v>
      </c>
      <c r="AR10" s="33"/>
      <c r="AS10" s="33">
        <v>2</v>
      </c>
      <c r="AT10" s="33"/>
      <c r="AU10" s="33">
        <v>0</v>
      </c>
      <c r="AV10" s="33"/>
      <c r="AW10" s="33"/>
      <c r="AX10" s="33"/>
      <c r="AY10" s="33"/>
      <c r="AZ10" s="33"/>
      <c r="BA10" s="33">
        <v>20</v>
      </c>
      <c r="BB10" s="33">
        <v>20</v>
      </c>
      <c r="BC10" s="33">
        <v>19</v>
      </c>
      <c r="BD10" s="33">
        <v>1</v>
      </c>
      <c r="BE10" s="44"/>
      <c r="BF10" s="33"/>
      <c r="BG10" s="44"/>
      <c r="BH10" s="33">
        <v>8</v>
      </c>
      <c r="BI10" s="44">
        <f>+BH10*0.8</f>
        <v>6.4</v>
      </c>
      <c r="BJ10" s="44">
        <f>+BH10-BI10</f>
        <v>1.5999999999999996</v>
      </c>
      <c r="BK10" s="33"/>
      <c r="BL10" s="33">
        <v>1</v>
      </c>
      <c r="BM10" s="33"/>
      <c r="BN10" s="33">
        <v>0</v>
      </c>
      <c r="BO10" s="33"/>
      <c r="BP10" s="33"/>
      <c r="BQ10" s="33"/>
      <c r="BR10" s="33"/>
      <c r="BS10" s="33"/>
      <c r="BT10" s="33">
        <v>18</v>
      </c>
      <c r="BU10" s="33">
        <v>5</v>
      </c>
      <c r="BV10" s="33">
        <v>3</v>
      </c>
      <c r="BW10" s="33">
        <v>4</v>
      </c>
      <c r="BX10" s="33"/>
      <c r="BY10" s="33">
        <v>1</v>
      </c>
      <c r="BZ10" s="33"/>
      <c r="CA10" s="33"/>
      <c r="CB10" s="33"/>
      <c r="CC10" s="33"/>
      <c r="CD10" s="33"/>
      <c r="CE10" s="33"/>
      <c r="CF10" s="33"/>
      <c r="CG10" s="33"/>
      <c r="CH10" s="33"/>
      <c r="CI10" s="33"/>
      <c r="CJ10" s="33"/>
      <c r="CK10" s="33"/>
      <c r="CL10" s="33"/>
      <c r="CM10" s="33"/>
      <c r="CN10" s="35"/>
      <c r="CO10" s="35"/>
      <c r="CP10" s="35"/>
      <c r="CQ10" s="35"/>
      <c r="CR10" s="35"/>
      <c r="CS10" s="35"/>
      <c r="CT10" s="35"/>
      <c r="CU10" s="35"/>
      <c r="CV10" s="35"/>
      <c r="CW10" s="35"/>
      <c r="CX10" s="35"/>
      <c r="CY10" s="35"/>
    </row>
    <row r="11" spans="1:104" s="36" customFormat="1" ht="13" customHeight="1" x14ac:dyDescent="0.2">
      <c r="A11" s="58">
        <v>10</v>
      </c>
      <c r="B11" s="14" t="s">
        <v>1429</v>
      </c>
      <c r="C11" s="30" t="s">
        <v>79</v>
      </c>
      <c r="D11" s="31" t="s">
        <v>494</v>
      </c>
      <c r="E11" s="31"/>
      <c r="F11" s="31">
        <v>2004</v>
      </c>
      <c r="G11" s="42" t="s">
        <v>563</v>
      </c>
      <c r="H11" s="41" t="s">
        <v>512</v>
      </c>
      <c r="I11" s="31" t="s">
        <v>8</v>
      </c>
      <c r="J11" s="32" t="s">
        <v>567</v>
      </c>
      <c r="K11" s="32" t="s">
        <v>1473</v>
      </c>
      <c r="L11" s="31" t="s">
        <v>32</v>
      </c>
      <c r="M11" s="15" t="s">
        <v>25</v>
      </c>
      <c r="N11" s="31" t="s">
        <v>201</v>
      </c>
      <c r="O11" s="31" t="s">
        <v>404</v>
      </c>
      <c r="P11" s="31" t="s">
        <v>333</v>
      </c>
      <c r="Q11" s="33" t="s">
        <v>313</v>
      </c>
      <c r="R11" s="42" t="s">
        <v>569</v>
      </c>
      <c r="S11" s="31" t="s">
        <v>158</v>
      </c>
      <c r="T11" s="31" t="s">
        <v>568</v>
      </c>
      <c r="U11" s="31" t="s">
        <v>548</v>
      </c>
      <c r="V11" s="57">
        <v>10</v>
      </c>
      <c r="W11" s="57" t="str">
        <f t="shared" si="5"/>
        <v>L</v>
      </c>
      <c r="X11" s="32" t="s">
        <v>507</v>
      </c>
      <c r="Y11" s="31" t="s">
        <v>14</v>
      </c>
      <c r="Z11" s="31" t="s">
        <v>33</v>
      </c>
      <c r="AA11" s="31" t="s">
        <v>405</v>
      </c>
      <c r="AB11" s="31" t="s">
        <v>354</v>
      </c>
      <c r="AC11" s="15">
        <v>10</v>
      </c>
      <c r="AD11" s="15" t="str">
        <f t="shared" si="4"/>
        <v>L</v>
      </c>
      <c r="AE11" s="31" t="s">
        <v>13</v>
      </c>
      <c r="AF11" s="31" t="s">
        <v>14</v>
      </c>
      <c r="AG11" s="33">
        <v>219</v>
      </c>
      <c r="AH11" s="33">
        <v>112</v>
      </c>
      <c r="AI11" s="33">
        <v>110</v>
      </c>
      <c r="AJ11" s="33">
        <v>85</v>
      </c>
      <c r="AK11" s="33">
        <f t="shared" si="6"/>
        <v>25</v>
      </c>
      <c r="AL11" s="44">
        <v>82</v>
      </c>
      <c r="AM11" s="33">
        <v>75</v>
      </c>
      <c r="AN11" s="44">
        <f>+AL11-AM11</f>
        <v>7</v>
      </c>
      <c r="AO11" s="44">
        <f>4+13+1+5</f>
        <v>23</v>
      </c>
      <c r="AP11" s="33">
        <f>1+10+3+1+1</f>
        <v>16</v>
      </c>
      <c r="AQ11" s="33">
        <f>+AO11-AP11</f>
        <v>7</v>
      </c>
      <c r="AR11" s="33"/>
      <c r="AS11" s="33">
        <v>45</v>
      </c>
      <c r="AT11" s="33"/>
      <c r="AU11" s="33">
        <v>6</v>
      </c>
      <c r="AV11" s="33"/>
      <c r="AW11" s="33">
        <v>3</v>
      </c>
      <c r="AX11" s="33">
        <v>7.7</v>
      </c>
      <c r="AY11" s="33"/>
      <c r="AZ11" s="33"/>
      <c r="BA11" s="33">
        <v>117</v>
      </c>
      <c r="BB11" s="33">
        <v>102</v>
      </c>
      <c r="BC11" s="33">
        <v>83</v>
      </c>
      <c r="BD11" s="33">
        <v>19</v>
      </c>
      <c r="BE11" s="44">
        <v>75</v>
      </c>
      <c r="BF11" s="33">
        <v>67</v>
      </c>
      <c r="BG11" s="44">
        <f>+BE11-BF11</f>
        <v>8</v>
      </c>
      <c r="BH11" s="33">
        <f>3+9+6+3</f>
        <v>21</v>
      </c>
      <c r="BI11" s="44">
        <f>1+6+4+1</f>
        <v>12</v>
      </c>
      <c r="BJ11" s="44">
        <f>+BH11-BI11</f>
        <v>9</v>
      </c>
      <c r="BK11" s="33"/>
      <c r="BL11" s="33">
        <v>35</v>
      </c>
      <c r="BM11" s="33"/>
      <c r="BN11" s="33">
        <v>1</v>
      </c>
      <c r="BO11" s="33"/>
      <c r="BP11" s="33">
        <v>5</v>
      </c>
      <c r="BQ11" s="33">
        <v>8.4</v>
      </c>
      <c r="BR11" s="33"/>
      <c r="BS11" s="33"/>
      <c r="BT11" s="33">
        <f>4+10+3+1+5+2+1+6+9+3</f>
        <v>44</v>
      </c>
      <c r="BU11" s="33">
        <v>19</v>
      </c>
      <c r="BV11" s="33">
        <f>3+6</f>
        <v>9</v>
      </c>
      <c r="BW11" s="33"/>
      <c r="BX11" s="33">
        <v>7</v>
      </c>
      <c r="BY11" s="33">
        <v>7</v>
      </c>
      <c r="BZ11" s="33"/>
      <c r="CA11" s="33"/>
      <c r="CB11" s="33"/>
      <c r="CC11" s="33"/>
      <c r="CD11" s="33"/>
      <c r="CE11" s="33"/>
      <c r="CF11" s="33"/>
      <c r="CG11" s="33"/>
      <c r="CH11" s="33"/>
      <c r="CI11" s="33"/>
      <c r="CJ11" s="33"/>
      <c r="CK11" s="33"/>
      <c r="CL11" s="33"/>
      <c r="CM11" s="33"/>
      <c r="CN11" s="35"/>
      <c r="CO11" s="35"/>
      <c r="CP11" s="35"/>
      <c r="CQ11" s="35"/>
      <c r="CR11" s="35"/>
      <c r="CS11" s="35"/>
      <c r="CT11" s="35"/>
      <c r="CU11" s="35"/>
      <c r="CV11" s="35"/>
      <c r="CW11" s="35"/>
      <c r="CX11" s="35"/>
      <c r="CY11" s="35"/>
    </row>
    <row r="12" spans="1:104" s="19" customFormat="1" x14ac:dyDescent="0.2">
      <c r="A12" s="58">
        <v>11</v>
      </c>
      <c r="B12" s="14" t="s">
        <v>1429</v>
      </c>
      <c r="C12" s="14" t="s">
        <v>79</v>
      </c>
      <c r="D12" s="15" t="s">
        <v>554</v>
      </c>
      <c r="E12" s="15"/>
      <c r="F12" s="15">
        <v>2002</v>
      </c>
      <c r="G12" s="22" t="s">
        <v>555</v>
      </c>
      <c r="H12" s="24" t="s">
        <v>556</v>
      </c>
      <c r="I12" s="15" t="s">
        <v>8</v>
      </c>
      <c r="J12" s="16" t="s">
        <v>49</v>
      </c>
      <c r="K12" s="16" t="s">
        <v>366</v>
      </c>
      <c r="L12" s="15" t="s">
        <v>32</v>
      </c>
      <c r="M12" s="15" t="s">
        <v>25</v>
      </c>
      <c r="N12" s="15" t="s">
        <v>201</v>
      </c>
      <c r="O12" s="15" t="s">
        <v>561</v>
      </c>
      <c r="P12" s="31" t="s">
        <v>333</v>
      </c>
      <c r="Q12" s="17" t="s">
        <v>313</v>
      </c>
      <c r="R12" s="16" t="s">
        <v>560</v>
      </c>
      <c r="S12" s="15" t="s">
        <v>557</v>
      </c>
      <c r="T12" s="15" t="s">
        <v>570</v>
      </c>
      <c r="U12" s="15" t="s">
        <v>571</v>
      </c>
      <c r="V12" s="57">
        <v>10</v>
      </c>
      <c r="W12" s="57" t="str">
        <f t="shared" si="5"/>
        <v>L</v>
      </c>
      <c r="X12" s="15" t="s">
        <v>558</v>
      </c>
      <c r="Y12" s="15" t="s">
        <v>14</v>
      </c>
      <c r="Z12" s="31" t="s">
        <v>1304</v>
      </c>
      <c r="AA12" s="15" t="s">
        <v>566</v>
      </c>
      <c r="AB12" s="15" t="s">
        <v>573</v>
      </c>
      <c r="AC12" s="15">
        <v>13</v>
      </c>
      <c r="AD12" s="15" t="str">
        <f t="shared" si="4"/>
        <v>L</v>
      </c>
      <c r="AE12" s="16" t="s">
        <v>507</v>
      </c>
      <c r="AF12" s="15" t="s">
        <v>14</v>
      </c>
      <c r="AG12" s="17">
        <f>52+52</f>
        <v>104</v>
      </c>
      <c r="AH12" s="17">
        <v>52</v>
      </c>
      <c r="AI12" s="17">
        <v>52</v>
      </c>
      <c r="AJ12" s="17">
        <v>45</v>
      </c>
      <c r="AK12" s="17">
        <f t="shared" si="6"/>
        <v>7</v>
      </c>
      <c r="AL12" s="47"/>
      <c r="AM12" s="17"/>
      <c r="AN12" s="47"/>
      <c r="AO12" s="47">
        <f>6+10+3+5+2</f>
        <v>26</v>
      </c>
      <c r="AP12" s="17">
        <v>20</v>
      </c>
      <c r="AQ12" s="17">
        <f>+AO12-AP12</f>
        <v>6</v>
      </c>
      <c r="AR12" s="17">
        <v>1</v>
      </c>
      <c r="AS12" s="17">
        <v>3</v>
      </c>
      <c r="AT12" s="17">
        <v>0</v>
      </c>
      <c r="AU12" s="17"/>
      <c r="AV12" s="17"/>
      <c r="AW12" s="17">
        <v>2</v>
      </c>
      <c r="AX12" s="17">
        <v>13.5</v>
      </c>
      <c r="AY12" s="17">
        <v>1</v>
      </c>
      <c r="AZ12" s="17"/>
      <c r="BA12" s="17">
        <v>52</v>
      </c>
      <c r="BB12" s="17">
        <v>52</v>
      </c>
      <c r="BC12" s="17">
        <v>36</v>
      </c>
      <c r="BD12" s="17">
        <v>16</v>
      </c>
      <c r="BE12" s="47"/>
      <c r="BF12" s="17"/>
      <c r="BG12" s="47"/>
      <c r="BH12" s="17">
        <v>23</v>
      </c>
      <c r="BI12" s="17">
        <v>14</v>
      </c>
      <c r="BJ12" s="17">
        <f>+BH12-BI12</f>
        <v>9</v>
      </c>
      <c r="BK12" s="17">
        <v>2</v>
      </c>
      <c r="BL12" s="17">
        <v>4</v>
      </c>
      <c r="BM12" s="17">
        <v>0</v>
      </c>
      <c r="BN12" s="17"/>
      <c r="BO12" s="17"/>
      <c r="BP12" s="17">
        <v>1</v>
      </c>
      <c r="BQ12" s="17">
        <v>17.5</v>
      </c>
      <c r="BR12" s="17">
        <v>2</v>
      </c>
      <c r="BS12" s="17"/>
      <c r="BT12" s="17">
        <f>26+23</f>
        <v>49</v>
      </c>
      <c r="BU12" s="17">
        <v>18</v>
      </c>
      <c r="BV12" s="17">
        <v>7</v>
      </c>
      <c r="BW12" s="17">
        <v>8</v>
      </c>
      <c r="BX12" s="17">
        <v>2</v>
      </c>
      <c r="BY12" s="17">
        <v>12</v>
      </c>
      <c r="BZ12" s="17"/>
      <c r="CA12" s="17"/>
      <c r="CB12" s="17"/>
      <c r="CC12" s="17"/>
      <c r="CD12" s="17"/>
      <c r="CE12" s="17"/>
      <c r="CF12" s="17"/>
      <c r="CG12" s="17"/>
      <c r="CH12" s="17"/>
      <c r="CI12" s="17"/>
      <c r="CJ12" s="17"/>
      <c r="CK12" s="17"/>
      <c r="CL12" s="17"/>
      <c r="CM12" s="17"/>
      <c r="CN12" s="18"/>
      <c r="CO12" s="18"/>
      <c r="CP12" s="18"/>
      <c r="CQ12" s="18"/>
      <c r="CR12" s="18"/>
      <c r="CS12" s="18"/>
      <c r="CT12" s="18"/>
      <c r="CU12" s="18"/>
      <c r="CV12" s="18"/>
      <c r="CW12" s="18"/>
      <c r="CX12" s="18"/>
      <c r="CY12" s="18"/>
    </row>
    <row r="13" spans="1:104" s="19" customFormat="1" x14ac:dyDescent="0.2">
      <c r="A13" s="58">
        <v>11</v>
      </c>
      <c r="B13" s="14" t="s">
        <v>1430</v>
      </c>
      <c r="C13" s="14" t="s">
        <v>79</v>
      </c>
      <c r="D13" s="15" t="s">
        <v>554</v>
      </c>
      <c r="E13" s="15"/>
      <c r="F13" s="15">
        <v>2002</v>
      </c>
      <c r="G13" s="22" t="s">
        <v>555</v>
      </c>
      <c r="H13" s="24" t="s">
        <v>556</v>
      </c>
      <c r="I13" s="15" t="s">
        <v>8</v>
      </c>
      <c r="J13" s="16" t="s">
        <v>49</v>
      </c>
      <c r="K13" s="16" t="s">
        <v>366</v>
      </c>
      <c r="L13" s="15" t="s">
        <v>32</v>
      </c>
      <c r="M13" s="15" t="s">
        <v>25</v>
      </c>
      <c r="N13" s="15" t="s">
        <v>201</v>
      </c>
      <c r="O13" s="15" t="s">
        <v>561</v>
      </c>
      <c r="P13" s="31" t="s">
        <v>333</v>
      </c>
      <c r="Q13" s="17" t="s">
        <v>313</v>
      </c>
      <c r="R13" s="16" t="s">
        <v>560</v>
      </c>
      <c r="S13" s="15" t="s">
        <v>559</v>
      </c>
      <c r="T13" s="15" t="s">
        <v>570</v>
      </c>
      <c r="U13" s="15" t="s">
        <v>572</v>
      </c>
      <c r="V13" s="57">
        <v>10</v>
      </c>
      <c r="W13" s="57" t="str">
        <f t="shared" si="5"/>
        <v>L</v>
      </c>
      <c r="X13" s="15" t="s">
        <v>558</v>
      </c>
      <c r="Y13" s="15" t="s">
        <v>14</v>
      </c>
      <c r="Z13" s="15" t="s">
        <v>564</v>
      </c>
      <c r="AA13" s="15" t="s">
        <v>565</v>
      </c>
      <c r="AB13" s="15" t="s">
        <v>354</v>
      </c>
      <c r="AC13" s="15">
        <v>10</v>
      </c>
      <c r="AD13" s="15" t="str">
        <f t="shared" si="4"/>
        <v>L</v>
      </c>
      <c r="AE13" s="16" t="s">
        <v>574</v>
      </c>
      <c r="AF13" s="15" t="s">
        <v>14</v>
      </c>
      <c r="AG13" s="17">
        <f>51+49</f>
        <v>100</v>
      </c>
      <c r="AH13" s="17">
        <v>51</v>
      </c>
      <c r="AI13" s="17">
        <v>51</v>
      </c>
      <c r="AJ13" s="17">
        <v>44</v>
      </c>
      <c r="AK13" s="17">
        <f t="shared" si="6"/>
        <v>7</v>
      </c>
      <c r="AL13" s="47"/>
      <c r="AM13" s="17"/>
      <c r="AN13" s="47"/>
      <c r="AO13" s="47">
        <v>24</v>
      </c>
      <c r="AP13" s="17">
        <v>17</v>
      </c>
      <c r="AQ13" s="17">
        <f>+AO13-AP13</f>
        <v>7</v>
      </c>
      <c r="AR13" s="17"/>
      <c r="AS13" s="17">
        <v>3</v>
      </c>
      <c r="AT13" s="17">
        <v>0</v>
      </c>
      <c r="AU13" s="17"/>
      <c r="AV13" s="17"/>
      <c r="AW13" s="17">
        <v>3</v>
      </c>
      <c r="AX13" s="17">
        <v>13.7</v>
      </c>
      <c r="AY13" s="17"/>
      <c r="AZ13" s="17"/>
      <c r="BA13" s="17">
        <v>49</v>
      </c>
      <c r="BB13" s="17">
        <v>49</v>
      </c>
      <c r="BC13" s="17">
        <v>42</v>
      </c>
      <c r="BD13" s="17">
        <v>7</v>
      </c>
      <c r="BE13" s="47"/>
      <c r="BF13" s="17"/>
      <c r="BG13" s="47"/>
      <c r="BH13" s="17">
        <v>26</v>
      </c>
      <c r="BI13" s="17">
        <v>20</v>
      </c>
      <c r="BJ13" s="17">
        <v>6</v>
      </c>
      <c r="BK13" s="17">
        <v>1</v>
      </c>
      <c r="BL13" s="17">
        <v>3</v>
      </c>
      <c r="BM13" s="17">
        <v>0</v>
      </c>
      <c r="BN13" s="17"/>
      <c r="BO13" s="17"/>
      <c r="BP13" s="17">
        <v>2</v>
      </c>
      <c r="BQ13" s="17">
        <v>13</v>
      </c>
      <c r="BR13" s="17">
        <v>1</v>
      </c>
      <c r="BS13" s="17"/>
      <c r="BT13" s="17">
        <f>24+26</f>
        <v>50</v>
      </c>
      <c r="BU13" s="17">
        <v>18</v>
      </c>
      <c r="BV13" s="17">
        <v>8</v>
      </c>
      <c r="BW13" s="17">
        <v>5</v>
      </c>
      <c r="BX13" s="17">
        <v>3</v>
      </c>
      <c r="BY13" s="17">
        <f>7+6</f>
        <v>13</v>
      </c>
      <c r="BZ13" s="17"/>
      <c r="CA13" s="17"/>
      <c r="CB13" s="17"/>
      <c r="CC13" s="17"/>
      <c r="CD13" s="17"/>
      <c r="CE13" s="17"/>
      <c r="CF13" s="17"/>
      <c r="CG13" s="17"/>
      <c r="CH13" s="17"/>
      <c r="CI13" s="17"/>
      <c r="CJ13" s="17"/>
      <c r="CK13" s="17"/>
      <c r="CL13" s="17"/>
      <c r="CM13" s="17"/>
      <c r="CN13" s="18"/>
      <c r="CO13" s="18"/>
      <c r="CP13" s="18"/>
      <c r="CQ13" s="18"/>
      <c r="CR13" s="18"/>
      <c r="CS13" s="18"/>
      <c r="CT13" s="18"/>
      <c r="CU13" s="18"/>
      <c r="CV13" s="18"/>
      <c r="CW13" s="18"/>
      <c r="CX13" s="18"/>
      <c r="CY13" s="18"/>
    </row>
    <row r="14" spans="1:104" s="36" customFormat="1" x14ac:dyDescent="0.2">
      <c r="A14" s="58">
        <v>12</v>
      </c>
      <c r="B14" s="14" t="s">
        <v>1429</v>
      </c>
      <c r="C14" s="30" t="s">
        <v>79</v>
      </c>
      <c r="D14" s="31" t="s">
        <v>80</v>
      </c>
      <c r="E14" s="31"/>
      <c r="F14" s="31">
        <v>1991</v>
      </c>
      <c r="G14" s="32" t="s">
        <v>232</v>
      </c>
      <c r="H14" s="41" t="s">
        <v>81</v>
      </c>
      <c r="I14" s="31" t="s">
        <v>8</v>
      </c>
      <c r="J14" s="32" t="s">
        <v>199</v>
      </c>
      <c r="K14" s="32" t="s">
        <v>1472</v>
      </c>
      <c r="L14" s="31" t="s">
        <v>31</v>
      </c>
      <c r="M14" s="15" t="s">
        <v>25</v>
      </c>
      <c r="N14" s="31" t="s">
        <v>201</v>
      </c>
      <c r="O14" s="31" t="s">
        <v>404</v>
      </c>
      <c r="P14" s="31" t="s">
        <v>333</v>
      </c>
      <c r="Q14" s="33" t="s">
        <v>313</v>
      </c>
      <c r="R14" s="32" t="s">
        <v>585</v>
      </c>
      <c r="S14" s="31" t="s">
        <v>54</v>
      </c>
      <c r="T14" s="31" t="s">
        <v>55</v>
      </c>
      <c r="U14" s="31">
        <v>14</v>
      </c>
      <c r="V14" s="57">
        <f t="shared" si="1"/>
        <v>14</v>
      </c>
      <c r="W14" s="57" t="str">
        <f t="shared" si="5"/>
        <v>L</v>
      </c>
      <c r="X14" s="31" t="s">
        <v>16</v>
      </c>
      <c r="Y14" s="31" t="s">
        <v>14</v>
      </c>
      <c r="Z14" s="31" t="s">
        <v>198</v>
      </c>
      <c r="AA14" s="31" t="s">
        <v>34</v>
      </c>
      <c r="AB14" s="31">
        <v>14</v>
      </c>
      <c r="AC14" s="15">
        <f t="shared" si="3"/>
        <v>14</v>
      </c>
      <c r="AD14" s="15" t="str">
        <f t="shared" si="4"/>
        <v>L</v>
      </c>
      <c r="AE14" s="31" t="s">
        <v>16</v>
      </c>
      <c r="AF14" s="31" t="s">
        <v>14</v>
      </c>
      <c r="AG14" s="33">
        <v>208</v>
      </c>
      <c r="AH14" s="33">
        <v>96</v>
      </c>
      <c r="AI14" s="33">
        <v>96</v>
      </c>
      <c r="AJ14" s="33">
        <v>85</v>
      </c>
      <c r="AK14" s="33">
        <f t="shared" si="6"/>
        <v>11</v>
      </c>
      <c r="AL14" s="44">
        <v>64</v>
      </c>
      <c r="AM14" s="33">
        <v>63</v>
      </c>
      <c r="AN14" s="44">
        <v>1</v>
      </c>
      <c r="AO14" s="44">
        <v>9</v>
      </c>
      <c r="AP14" s="33">
        <v>8</v>
      </c>
      <c r="AQ14" s="33">
        <f>+AO14-AP14</f>
        <v>1</v>
      </c>
      <c r="AR14" s="33"/>
      <c r="AS14" s="33">
        <v>18</v>
      </c>
      <c r="AT14" s="33">
        <v>15</v>
      </c>
      <c r="AU14" s="33"/>
      <c r="AV14" s="33"/>
      <c r="AW14" s="33">
        <v>0</v>
      </c>
      <c r="AX14" s="33"/>
      <c r="AY14" s="33"/>
      <c r="AZ14" s="33"/>
      <c r="BA14" s="33">
        <v>112</v>
      </c>
      <c r="BB14" s="33">
        <v>112</v>
      </c>
      <c r="BC14" s="33">
        <v>81</v>
      </c>
      <c r="BD14" s="33">
        <v>31</v>
      </c>
      <c r="BE14" s="44">
        <v>44</v>
      </c>
      <c r="BF14" s="33">
        <v>39</v>
      </c>
      <c r="BG14" s="44">
        <v>5</v>
      </c>
      <c r="BH14" s="33">
        <v>5</v>
      </c>
      <c r="BI14" s="33">
        <v>5</v>
      </c>
      <c r="BJ14" s="33">
        <v>0</v>
      </c>
      <c r="BK14" s="33"/>
      <c r="BL14" s="33">
        <v>39</v>
      </c>
      <c r="BM14" s="33">
        <v>37</v>
      </c>
      <c r="BN14" s="33"/>
      <c r="BO14" s="33"/>
      <c r="BP14" s="33">
        <v>0</v>
      </c>
      <c r="BQ14" s="33"/>
      <c r="BR14" s="33"/>
      <c r="BS14" s="33"/>
      <c r="BT14" s="33">
        <v>39</v>
      </c>
      <c r="BU14" s="33">
        <v>7</v>
      </c>
      <c r="BV14" s="33">
        <v>24</v>
      </c>
      <c r="BW14" s="33"/>
      <c r="BX14" s="33"/>
      <c r="BY14" s="33"/>
      <c r="BZ14" s="33"/>
      <c r="CA14" s="33" t="s">
        <v>587</v>
      </c>
      <c r="CB14" s="33" t="s">
        <v>590</v>
      </c>
      <c r="CC14" s="33"/>
      <c r="CD14" s="33"/>
      <c r="CE14" s="33"/>
      <c r="CF14" s="33"/>
      <c r="CG14" s="33"/>
      <c r="CH14" s="33"/>
      <c r="CI14" s="33"/>
      <c r="CJ14" s="33"/>
      <c r="CK14" s="33"/>
      <c r="CL14" s="33"/>
      <c r="CM14" s="33"/>
      <c r="CN14" s="35"/>
      <c r="CO14" s="35"/>
      <c r="CP14" s="35"/>
      <c r="CQ14" s="35"/>
      <c r="CR14" s="35"/>
      <c r="CS14" s="35"/>
      <c r="CT14" s="35"/>
      <c r="CU14" s="35"/>
      <c r="CV14" s="35"/>
      <c r="CW14" s="35"/>
      <c r="CX14" s="35"/>
      <c r="CY14" s="35"/>
    </row>
    <row r="15" spans="1:104" s="36" customFormat="1" ht="15" customHeight="1" x14ac:dyDescent="0.2">
      <c r="A15" s="58">
        <v>13</v>
      </c>
      <c r="B15" s="14" t="s">
        <v>1429</v>
      </c>
      <c r="C15" s="30" t="s">
        <v>79</v>
      </c>
      <c r="D15" s="31" t="s">
        <v>82</v>
      </c>
      <c r="E15" s="31"/>
      <c r="F15" s="31">
        <v>1993</v>
      </c>
      <c r="G15" s="32" t="s">
        <v>83</v>
      </c>
      <c r="H15" s="41" t="s">
        <v>583</v>
      </c>
      <c r="I15" s="31" t="s">
        <v>8</v>
      </c>
      <c r="J15" s="32" t="s">
        <v>580</v>
      </c>
      <c r="K15" s="32" t="s">
        <v>1473</v>
      </c>
      <c r="L15" s="31" t="s">
        <v>31</v>
      </c>
      <c r="M15" s="31" t="s">
        <v>11</v>
      </c>
      <c r="N15" s="31" t="s">
        <v>201</v>
      </c>
      <c r="O15" s="31" t="s">
        <v>458</v>
      </c>
      <c r="P15" s="31" t="s">
        <v>285</v>
      </c>
      <c r="Q15" s="33" t="s">
        <v>313</v>
      </c>
      <c r="R15" s="42" t="s">
        <v>591</v>
      </c>
      <c r="S15" s="31" t="s">
        <v>54</v>
      </c>
      <c r="T15" s="31" t="s">
        <v>581</v>
      </c>
      <c r="U15" s="31" t="s">
        <v>77</v>
      </c>
      <c r="V15" s="57">
        <v>10</v>
      </c>
      <c r="W15" s="57" t="str">
        <f t="shared" si="5"/>
        <v>L</v>
      </c>
      <c r="X15" s="31" t="s">
        <v>16</v>
      </c>
      <c r="Y15" s="31" t="s">
        <v>14</v>
      </c>
      <c r="Z15" s="31" t="s">
        <v>198</v>
      </c>
      <c r="AA15" s="31" t="s">
        <v>578</v>
      </c>
      <c r="AB15" s="31" t="s">
        <v>77</v>
      </c>
      <c r="AC15" s="15">
        <v>10</v>
      </c>
      <c r="AD15" s="15" t="str">
        <f t="shared" si="4"/>
        <v>L</v>
      </c>
      <c r="AE15" s="31" t="s">
        <v>16</v>
      </c>
      <c r="AF15" s="31" t="s">
        <v>14</v>
      </c>
      <c r="AG15" s="33">
        <v>268</v>
      </c>
      <c r="AH15" s="33">
        <v>133</v>
      </c>
      <c r="AI15" s="33"/>
      <c r="AJ15" s="33"/>
      <c r="AK15" s="33"/>
      <c r="AL15" s="44">
        <v>92</v>
      </c>
      <c r="AM15" s="33">
        <v>89</v>
      </c>
      <c r="AN15" s="44">
        <v>3</v>
      </c>
      <c r="AO15" s="44">
        <v>26</v>
      </c>
      <c r="AP15" s="33">
        <v>23</v>
      </c>
      <c r="AQ15" s="33">
        <f>+AO15-AP15</f>
        <v>3</v>
      </c>
      <c r="AR15" s="33"/>
      <c r="AS15" s="33">
        <v>41</v>
      </c>
      <c r="AT15" s="33">
        <v>34</v>
      </c>
      <c r="AU15" s="33"/>
      <c r="AV15" s="33"/>
      <c r="AW15" s="33">
        <v>0</v>
      </c>
      <c r="AX15" s="33"/>
      <c r="AY15" s="33"/>
      <c r="AZ15" s="33"/>
      <c r="BA15" s="33">
        <v>135</v>
      </c>
      <c r="BB15" s="33"/>
      <c r="BC15" s="33"/>
      <c r="BD15" s="33"/>
      <c r="BE15" s="44">
        <v>81</v>
      </c>
      <c r="BF15" s="33">
        <v>78</v>
      </c>
      <c r="BG15" s="44">
        <v>3</v>
      </c>
      <c r="BH15" s="33">
        <v>17</v>
      </c>
      <c r="BI15" s="33">
        <v>17</v>
      </c>
      <c r="BJ15" s="33">
        <v>0</v>
      </c>
      <c r="BK15" s="33"/>
      <c r="BL15" s="33">
        <v>79</v>
      </c>
      <c r="BM15" s="33">
        <v>76</v>
      </c>
      <c r="BN15" s="33"/>
      <c r="BO15" s="33"/>
      <c r="BP15" s="33">
        <v>0</v>
      </c>
      <c r="BQ15" s="33"/>
      <c r="BR15" s="33"/>
      <c r="BS15" s="33"/>
      <c r="BT15" s="33">
        <f>26+17</f>
        <v>43</v>
      </c>
      <c r="BU15" s="33">
        <f>14+10</f>
        <v>24</v>
      </c>
      <c r="BV15" s="33">
        <f>6+9+2</f>
        <v>17</v>
      </c>
      <c r="BW15" s="33"/>
      <c r="BX15" s="33"/>
      <c r="BY15" s="33"/>
      <c r="BZ15" s="33"/>
      <c r="CA15" s="33"/>
      <c r="CB15" s="33"/>
      <c r="CC15" s="33"/>
      <c r="CD15" s="33"/>
      <c r="CE15" s="33"/>
      <c r="CF15" s="33"/>
      <c r="CG15" s="33"/>
      <c r="CH15" s="33"/>
      <c r="CI15" s="33"/>
      <c r="CJ15" s="33"/>
      <c r="CK15" s="33"/>
      <c r="CL15" s="33"/>
      <c r="CM15" s="33"/>
      <c r="CN15" s="35"/>
      <c r="CO15" s="35"/>
      <c r="CP15" s="35"/>
      <c r="CQ15" s="35"/>
      <c r="CR15" s="35"/>
      <c r="CS15" s="35"/>
      <c r="CT15" s="35"/>
      <c r="CU15" s="35"/>
      <c r="CV15" s="35"/>
      <c r="CW15" s="35"/>
      <c r="CX15" s="35"/>
      <c r="CY15" s="35"/>
    </row>
    <row r="16" spans="1:104" s="36" customFormat="1" ht="16" customHeight="1" x14ac:dyDescent="0.2">
      <c r="A16" s="58">
        <v>14</v>
      </c>
      <c r="B16" s="30" t="s">
        <v>1429</v>
      </c>
      <c r="C16" s="30" t="s">
        <v>79</v>
      </c>
      <c r="D16" s="31" t="s">
        <v>577</v>
      </c>
      <c r="E16" s="31"/>
      <c r="F16" s="31">
        <v>2000</v>
      </c>
      <c r="G16" s="32" t="s">
        <v>582</v>
      </c>
      <c r="H16" s="41" t="s">
        <v>584</v>
      </c>
      <c r="I16" s="31" t="s">
        <v>8</v>
      </c>
      <c r="J16" s="32" t="s">
        <v>267</v>
      </c>
      <c r="K16" s="32" t="s">
        <v>366</v>
      </c>
      <c r="L16" s="31" t="s">
        <v>31</v>
      </c>
      <c r="M16" s="31" t="s">
        <v>11</v>
      </c>
      <c r="N16" s="31" t="s">
        <v>201</v>
      </c>
      <c r="O16" s="31" t="s">
        <v>404</v>
      </c>
      <c r="P16" s="31" t="s">
        <v>285</v>
      </c>
      <c r="Q16" s="33" t="s">
        <v>313</v>
      </c>
      <c r="R16" s="42" t="s">
        <v>592</v>
      </c>
      <c r="S16" s="31" t="s">
        <v>54</v>
      </c>
      <c r="T16" s="31" t="s">
        <v>579</v>
      </c>
      <c r="U16" s="31">
        <v>10</v>
      </c>
      <c r="V16" s="57">
        <f t="shared" si="1"/>
        <v>10</v>
      </c>
      <c r="W16" s="57" t="str">
        <f t="shared" si="5"/>
        <v>L</v>
      </c>
      <c r="X16" s="31" t="s">
        <v>16</v>
      </c>
      <c r="Y16" s="31" t="s">
        <v>14</v>
      </c>
      <c r="Z16" s="31" t="s">
        <v>198</v>
      </c>
      <c r="AA16" s="31" t="s">
        <v>578</v>
      </c>
      <c r="AB16" s="31">
        <v>10</v>
      </c>
      <c r="AC16" s="15">
        <f t="shared" si="3"/>
        <v>10</v>
      </c>
      <c r="AD16" s="15" t="str">
        <f t="shared" si="4"/>
        <v>L</v>
      </c>
      <c r="AE16" s="31" t="s">
        <v>16</v>
      </c>
      <c r="AF16" s="31" t="s">
        <v>14</v>
      </c>
      <c r="AG16" s="33">
        <f>29+27</f>
        <v>56</v>
      </c>
      <c r="AH16" s="33">
        <v>29</v>
      </c>
      <c r="AI16" s="33"/>
      <c r="AJ16" s="33"/>
      <c r="AK16" s="33"/>
      <c r="AL16" s="44">
        <v>28</v>
      </c>
      <c r="AM16" s="44">
        <f>+AL16*0.89</f>
        <v>24.92</v>
      </c>
      <c r="AN16" s="44">
        <f>+AL16-AM16</f>
        <v>3.0799999999999983</v>
      </c>
      <c r="AO16" s="44"/>
      <c r="AP16" s="33"/>
      <c r="AQ16" s="33"/>
      <c r="AR16" s="33"/>
      <c r="AS16" s="44">
        <f>+AL16*0.1</f>
        <v>2.8000000000000003</v>
      </c>
      <c r="AT16" s="33"/>
      <c r="AU16" s="44">
        <f>+AL16*0.034</f>
        <v>0.95200000000000007</v>
      </c>
      <c r="AV16" s="33"/>
      <c r="AW16" s="33"/>
      <c r="AX16" s="33"/>
      <c r="AY16" s="33"/>
      <c r="AZ16" s="33"/>
      <c r="BA16" s="33">
        <v>27</v>
      </c>
      <c r="BB16" s="33"/>
      <c r="BC16" s="33"/>
      <c r="BD16" s="33"/>
      <c r="BE16" s="44">
        <v>22</v>
      </c>
      <c r="BF16" s="44">
        <f>+BE16*0.73</f>
        <v>16.059999999999999</v>
      </c>
      <c r="BG16" s="44">
        <f>+BE16-BF16</f>
        <v>5.9400000000000013</v>
      </c>
      <c r="BH16" s="33"/>
      <c r="BI16" s="33"/>
      <c r="BJ16" s="33"/>
      <c r="BK16" s="33"/>
      <c r="BL16" s="44">
        <f>+BE16*0.26</f>
        <v>5.7200000000000006</v>
      </c>
      <c r="BM16" s="33"/>
      <c r="BN16" s="44">
        <f>+BE16*0.185</f>
        <v>4.07</v>
      </c>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5"/>
      <c r="CO16" s="35"/>
      <c r="CP16" s="35"/>
      <c r="CQ16" s="35"/>
      <c r="CR16" s="35"/>
      <c r="CS16" s="35"/>
      <c r="CT16" s="35"/>
      <c r="CU16" s="35"/>
      <c r="CV16" s="35"/>
      <c r="CW16" s="35"/>
      <c r="CX16" s="35"/>
      <c r="CY16" s="35"/>
    </row>
    <row r="17" spans="1:103" s="36" customFormat="1" ht="13" customHeight="1" x14ac:dyDescent="0.2">
      <c r="A17" s="58">
        <v>14</v>
      </c>
      <c r="B17" s="30" t="s">
        <v>1430</v>
      </c>
      <c r="C17" s="30" t="s">
        <v>79</v>
      </c>
      <c r="D17" s="31" t="s">
        <v>577</v>
      </c>
      <c r="E17" s="31"/>
      <c r="F17" s="31">
        <v>2000</v>
      </c>
      <c r="G17" s="32" t="s">
        <v>582</v>
      </c>
      <c r="H17" s="41" t="s">
        <v>584</v>
      </c>
      <c r="I17" s="31" t="s">
        <v>8</v>
      </c>
      <c r="J17" s="32" t="s">
        <v>267</v>
      </c>
      <c r="K17" s="32" t="s">
        <v>366</v>
      </c>
      <c r="L17" s="31" t="s">
        <v>31</v>
      </c>
      <c r="M17" s="31" t="s">
        <v>11</v>
      </c>
      <c r="N17" s="31" t="s">
        <v>201</v>
      </c>
      <c r="O17" s="31" t="s">
        <v>404</v>
      </c>
      <c r="P17" s="31" t="s">
        <v>285</v>
      </c>
      <c r="Q17" s="33" t="s">
        <v>313</v>
      </c>
      <c r="R17" s="42" t="s">
        <v>592</v>
      </c>
      <c r="S17" s="31" t="s">
        <v>54</v>
      </c>
      <c r="T17" s="31" t="s">
        <v>579</v>
      </c>
      <c r="U17" s="31">
        <v>10</v>
      </c>
      <c r="V17" s="57">
        <f t="shared" si="1"/>
        <v>10</v>
      </c>
      <c r="W17" s="57" t="str">
        <f t="shared" si="5"/>
        <v>L</v>
      </c>
      <c r="X17" s="31" t="s">
        <v>16</v>
      </c>
      <c r="Y17" s="31" t="s">
        <v>14</v>
      </c>
      <c r="Z17" s="31" t="s">
        <v>61</v>
      </c>
      <c r="AA17" s="31" t="s">
        <v>593</v>
      </c>
      <c r="AB17" s="31">
        <v>10</v>
      </c>
      <c r="AC17" s="15">
        <f t="shared" si="3"/>
        <v>10</v>
      </c>
      <c r="AD17" s="15" t="str">
        <f t="shared" si="4"/>
        <v>L</v>
      </c>
      <c r="AE17" s="31" t="s">
        <v>16</v>
      </c>
      <c r="AF17" s="31" t="s">
        <v>14</v>
      </c>
      <c r="AG17" s="33">
        <f>29+30</f>
        <v>59</v>
      </c>
      <c r="AH17" s="33">
        <v>29</v>
      </c>
      <c r="AI17" s="33"/>
      <c r="AJ17" s="33"/>
      <c r="AK17" s="33"/>
      <c r="AL17" s="44">
        <v>28</v>
      </c>
      <c r="AM17" s="44">
        <f>+AL16*0.89</f>
        <v>24.92</v>
      </c>
      <c r="AN17" s="44">
        <f>+AL17-AM17</f>
        <v>3.0799999999999983</v>
      </c>
      <c r="AO17" s="44"/>
      <c r="AP17" s="33"/>
      <c r="AQ17" s="33"/>
      <c r="AR17" s="33"/>
      <c r="AS17" s="44">
        <f>+AL17*0.1</f>
        <v>2.8000000000000003</v>
      </c>
      <c r="AT17" s="33"/>
      <c r="AU17" s="44">
        <f>+AL17*0.034</f>
        <v>0.95200000000000007</v>
      </c>
      <c r="AV17" s="33"/>
      <c r="AW17" s="33"/>
      <c r="AX17" s="33"/>
      <c r="AY17" s="33"/>
      <c r="AZ17" s="33"/>
      <c r="BA17" s="33">
        <v>30</v>
      </c>
      <c r="BB17" s="33"/>
      <c r="BC17" s="33"/>
      <c r="BD17" s="33"/>
      <c r="BE17" s="44">
        <v>28</v>
      </c>
      <c r="BF17" s="44">
        <f>+BE17*0.82</f>
        <v>22.959999999999997</v>
      </c>
      <c r="BG17" s="44">
        <f>+BE17-BF17</f>
        <v>5.0400000000000027</v>
      </c>
      <c r="BH17" s="33"/>
      <c r="BI17" s="44"/>
      <c r="BJ17" s="44"/>
      <c r="BK17" s="33"/>
      <c r="BL17" s="44">
        <f>+BE17*0.13</f>
        <v>3.64</v>
      </c>
      <c r="BM17" s="33"/>
      <c r="BN17" s="44">
        <f>+BE17*0.066</f>
        <v>1.8480000000000001</v>
      </c>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5"/>
      <c r="CO17" s="35"/>
      <c r="CP17" s="35"/>
      <c r="CQ17" s="35"/>
      <c r="CR17" s="35"/>
      <c r="CS17" s="35"/>
      <c r="CT17" s="35"/>
      <c r="CU17" s="35"/>
      <c r="CV17" s="35"/>
      <c r="CW17" s="35"/>
      <c r="CX17" s="35"/>
      <c r="CY17" s="35"/>
    </row>
    <row r="18" spans="1:103" s="19" customFormat="1" x14ac:dyDescent="0.2">
      <c r="A18" s="58">
        <v>15</v>
      </c>
      <c r="B18" s="14" t="s">
        <v>1429</v>
      </c>
      <c r="C18" s="14" t="s">
        <v>79</v>
      </c>
      <c r="D18" s="15" t="s">
        <v>148</v>
      </c>
      <c r="E18" s="15"/>
      <c r="F18" s="15">
        <v>2009</v>
      </c>
      <c r="G18" s="22" t="s">
        <v>212</v>
      </c>
      <c r="H18" s="24" t="s">
        <v>678</v>
      </c>
      <c r="I18" s="17" t="s">
        <v>8</v>
      </c>
      <c r="J18" s="27" t="s">
        <v>681</v>
      </c>
      <c r="K18" s="27" t="s">
        <v>1473</v>
      </c>
      <c r="L18" s="17" t="s">
        <v>32</v>
      </c>
      <c r="M18" s="15" t="s">
        <v>25</v>
      </c>
      <c r="N18" s="17" t="s">
        <v>201</v>
      </c>
      <c r="O18" s="17" t="s">
        <v>404</v>
      </c>
      <c r="P18" s="17" t="s">
        <v>221</v>
      </c>
      <c r="Q18" s="17" t="s">
        <v>313</v>
      </c>
      <c r="R18" s="27" t="s">
        <v>682</v>
      </c>
      <c r="S18" s="17" t="s">
        <v>149</v>
      </c>
      <c r="T18" s="17" t="s">
        <v>150</v>
      </c>
      <c r="U18" s="17" t="s">
        <v>354</v>
      </c>
      <c r="V18" s="57">
        <v>10</v>
      </c>
      <c r="W18" s="57" t="str">
        <f t="shared" si="5"/>
        <v>L</v>
      </c>
      <c r="X18" s="17" t="s">
        <v>680</v>
      </c>
      <c r="Y18" s="17" t="s">
        <v>679</v>
      </c>
      <c r="Z18" s="31" t="s">
        <v>33</v>
      </c>
      <c r="AA18" s="17" t="s">
        <v>34</v>
      </c>
      <c r="AB18" s="17" t="s">
        <v>354</v>
      </c>
      <c r="AC18" s="15">
        <v>10</v>
      </c>
      <c r="AD18" s="15" t="str">
        <f t="shared" si="4"/>
        <v>L</v>
      </c>
      <c r="AE18" s="27" t="s">
        <v>13</v>
      </c>
      <c r="AF18" s="17" t="s">
        <v>14</v>
      </c>
      <c r="AG18" s="17">
        <v>442</v>
      </c>
      <c r="AH18" s="17">
        <v>212</v>
      </c>
      <c r="AI18" s="17">
        <v>191</v>
      </c>
      <c r="AJ18" s="17">
        <v>149</v>
      </c>
      <c r="AK18" s="17">
        <f t="shared" ref="AK18:AK23" si="7">+AI18-AJ18</f>
        <v>42</v>
      </c>
      <c r="AL18" s="47">
        <v>138</v>
      </c>
      <c r="AM18" s="17">
        <v>125</v>
      </c>
      <c r="AN18" s="47">
        <f>+AL18-AM18</f>
        <v>13</v>
      </c>
      <c r="AO18" s="47">
        <f>56+18</f>
        <v>74</v>
      </c>
      <c r="AP18" s="17">
        <f>52+17</f>
        <v>69</v>
      </c>
      <c r="AQ18" s="17">
        <f>+AO18-AP18</f>
        <v>5</v>
      </c>
      <c r="AR18" s="17"/>
      <c r="AS18" s="17"/>
      <c r="AT18" s="17">
        <v>107</v>
      </c>
      <c r="AU18" s="17"/>
      <c r="AV18" s="47"/>
      <c r="AW18" s="17">
        <v>5</v>
      </c>
      <c r="AX18" s="17">
        <v>6.6</v>
      </c>
      <c r="AY18" s="47">
        <f>191*0.016</f>
        <v>3.056</v>
      </c>
      <c r="AZ18" s="47">
        <f>191*0.026</f>
        <v>4.9660000000000002</v>
      </c>
      <c r="BA18" s="17">
        <v>213</v>
      </c>
      <c r="BB18" s="17">
        <v>203</v>
      </c>
      <c r="BC18" s="17">
        <v>158</v>
      </c>
      <c r="BD18" s="17">
        <v>45</v>
      </c>
      <c r="BE18" s="47">
        <v>156</v>
      </c>
      <c r="BF18" s="17">
        <v>136</v>
      </c>
      <c r="BG18" s="47">
        <f>+BE18-BF18</f>
        <v>20</v>
      </c>
      <c r="BH18" s="17">
        <v>93</v>
      </c>
      <c r="BI18" s="17">
        <v>84</v>
      </c>
      <c r="BJ18" s="17">
        <f>+BH18-BI18</f>
        <v>9</v>
      </c>
      <c r="BK18" s="17"/>
      <c r="BL18" s="17"/>
      <c r="BM18" s="17">
        <v>96</v>
      </c>
      <c r="BN18" s="17"/>
      <c r="BO18" s="17"/>
      <c r="BP18" s="17">
        <v>6</v>
      </c>
      <c r="BQ18" s="17">
        <v>6.1</v>
      </c>
      <c r="BR18" s="47">
        <f>203*0.025</f>
        <v>5.0750000000000002</v>
      </c>
      <c r="BS18" s="47">
        <f>0.035*203</f>
        <v>7.1050000000000004</v>
      </c>
      <c r="BT18" s="17">
        <f>14+6+7+3+14+41+16+9+1+3+24+63</f>
        <v>201</v>
      </c>
      <c r="BU18" s="17">
        <f>41+63</f>
        <v>104</v>
      </c>
      <c r="BV18" s="17">
        <v>15</v>
      </c>
      <c r="BW18" s="17"/>
      <c r="BX18" s="17"/>
      <c r="BY18" s="17"/>
      <c r="BZ18" s="17">
        <f>14+16+14+24</f>
        <v>68</v>
      </c>
      <c r="CA18" s="17"/>
      <c r="CB18" s="17"/>
      <c r="CC18" s="17"/>
      <c r="CD18" s="17"/>
      <c r="CE18" s="17"/>
      <c r="CF18" s="17"/>
      <c r="CG18" s="17"/>
      <c r="CH18" s="17"/>
      <c r="CI18" s="17"/>
      <c r="CJ18" s="17"/>
      <c r="CK18" s="17"/>
      <c r="CL18" s="17"/>
      <c r="CM18" s="17"/>
      <c r="CN18" s="18"/>
      <c r="CO18" s="18"/>
      <c r="CP18" s="18"/>
      <c r="CQ18" s="18"/>
      <c r="CR18" s="18"/>
      <c r="CS18" s="18"/>
      <c r="CT18" s="18"/>
      <c r="CU18" s="18"/>
      <c r="CV18" s="18"/>
      <c r="CW18" s="18"/>
      <c r="CX18" s="18"/>
      <c r="CY18" s="18"/>
    </row>
    <row r="19" spans="1:103" s="19" customFormat="1" x14ac:dyDescent="0.2">
      <c r="A19" s="58">
        <v>16</v>
      </c>
      <c r="B19" s="14" t="s">
        <v>1429</v>
      </c>
      <c r="C19" s="14" t="s">
        <v>79</v>
      </c>
      <c r="D19" s="15" t="s">
        <v>53</v>
      </c>
      <c r="E19" s="15" t="s">
        <v>384</v>
      </c>
      <c r="F19" s="15">
        <v>2005</v>
      </c>
      <c r="G19" s="22" t="s">
        <v>119</v>
      </c>
      <c r="H19" s="24" t="s">
        <v>414</v>
      </c>
      <c r="I19" s="17" t="s">
        <v>8</v>
      </c>
      <c r="J19" s="27" t="s">
        <v>410</v>
      </c>
      <c r="K19" s="27" t="s">
        <v>1473</v>
      </c>
      <c r="L19" s="17" t="s">
        <v>31</v>
      </c>
      <c r="M19" s="17" t="s">
        <v>11</v>
      </c>
      <c r="N19" s="17" t="s">
        <v>201</v>
      </c>
      <c r="O19" s="17" t="s">
        <v>411</v>
      </c>
      <c r="P19" s="17" t="s">
        <v>285</v>
      </c>
      <c r="Q19" s="17" t="s">
        <v>308</v>
      </c>
      <c r="R19" s="27" t="s">
        <v>412</v>
      </c>
      <c r="S19" s="17" t="s">
        <v>50</v>
      </c>
      <c r="T19" s="17" t="s">
        <v>683</v>
      </c>
      <c r="U19" s="17">
        <v>1</v>
      </c>
      <c r="V19" s="57">
        <f t="shared" si="1"/>
        <v>1</v>
      </c>
      <c r="W19" s="57" t="str">
        <f t="shared" si="5"/>
        <v>S</v>
      </c>
      <c r="X19" s="17" t="s">
        <v>16</v>
      </c>
      <c r="Y19" s="17" t="s">
        <v>14</v>
      </c>
      <c r="Z19" s="31" t="s">
        <v>54</v>
      </c>
      <c r="AA19" s="17" t="s">
        <v>405</v>
      </c>
      <c r="AB19" s="17">
        <v>7</v>
      </c>
      <c r="AC19" s="15">
        <f t="shared" si="3"/>
        <v>7</v>
      </c>
      <c r="AD19" s="15" t="str">
        <f t="shared" si="4"/>
        <v>L</v>
      </c>
      <c r="AE19" s="27" t="s">
        <v>16</v>
      </c>
      <c r="AF19" s="17" t="s">
        <v>14</v>
      </c>
      <c r="AG19" s="17">
        <f>+AH19+BA19</f>
        <v>499</v>
      </c>
      <c r="AH19" s="17">
        <v>247</v>
      </c>
      <c r="AI19" s="17">
        <v>247</v>
      </c>
      <c r="AJ19" s="17">
        <v>215</v>
      </c>
      <c r="AK19" s="17">
        <f t="shared" si="7"/>
        <v>32</v>
      </c>
      <c r="AL19" s="47">
        <v>202</v>
      </c>
      <c r="AM19" s="17">
        <v>187</v>
      </c>
      <c r="AN19" s="47">
        <v>15</v>
      </c>
      <c r="AO19" s="47">
        <v>100</v>
      </c>
      <c r="AP19" s="17">
        <v>93</v>
      </c>
      <c r="AQ19" s="17">
        <v>7</v>
      </c>
      <c r="AR19" s="17">
        <v>1</v>
      </c>
      <c r="AS19" s="17"/>
      <c r="AT19" s="17">
        <v>65</v>
      </c>
      <c r="AU19" s="17"/>
      <c r="AV19" s="17">
        <v>2</v>
      </c>
      <c r="AW19" s="17">
        <v>0</v>
      </c>
      <c r="AX19" s="17"/>
      <c r="AY19" s="17"/>
      <c r="AZ19" s="17"/>
      <c r="BA19" s="17">
        <v>252</v>
      </c>
      <c r="BB19" s="17">
        <v>252</v>
      </c>
      <c r="BC19" s="17">
        <v>218</v>
      </c>
      <c r="BD19" s="17">
        <v>34</v>
      </c>
      <c r="BE19" s="47">
        <v>209</v>
      </c>
      <c r="BF19" s="17">
        <v>198</v>
      </c>
      <c r="BG19" s="47">
        <v>11</v>
      </c>
      <c r="BH19" s="17">
        <v>127</v>
      </c>
      <c r="BI19" s="17">
        <v>117</v>
      </c>
      <c r="BJ19" s="17">
        <v>10</v>
      </c>
      <c r="BK19" s="17">
        <v>5</v>
      </c>
      <c r="BL19" s="17"/>
      <c r="BM19" s="17">
        <v>62</v>
      </c>
      <c r="BN19" s="17"/>
      <c r="BO19" s="17">
        <v>1</v>
      </c>
      <c r="BP19" s="17">
        <v>4</v>
      </c>
      <c r="BQ19" s="17"/>
      <c r="BR19" s="17"/>
      <c r="BS19" s="17"/>
      <c r="BT19" s="17">
        <v>227</v>
      </c>
      <c r="BU19" s="17">
        <f>19+27</f>
        <v>46</v>
      </c>
      <c r="BV19" s="17">
        <f>15+26</f>
        <v>41</v>
      </c>
      <c r="BW19" s="17"/>
      <c r="BX19" s="17"/>
      <c r="BY19" s="17"/>
      <c r="BZ19" s="17">
        <f>26+21+31+21</f>
        <v>99</v>
      </c>
      <c r="CA19" s="17"/>
      <c r="CB19" s="17"/>
      <c r="CC19" s="17" t="s">
        <v>413</v>
      </c>
      <c r="CD19" s="17"/>
      <c r="CE19" s="17"/>
      <c r="CF19" s="17"/>
      <c r="CG19" s="17"/>
      <c r="CH19" s="17"/>
      <c r="CI19" s="17"/>
      <c r="CJ19" s="17"/>
      <c r="CK19" s="17"/>
      <c r="CL19" s="17"/>
      <c r="CM19" s="17"/>
      <c r="CN19" s="18"/>
      <c r="CO19" s="18"/>
      <c r="CP19" s="18"/>
      <c r="CQ19" s="18"/>
      <c r="CR19" s="18"/>
      <c r="CS19" s="18"/>
      <c r="CT19" s="18"/>
      <c r="CU19" s="18"/>
      <c r="CV19" s="18"/>
      <c r="CW19" s="18"/>
      <c r="CX19" s="18"/>
      <c r="CY19" s="18"/>
    </row>
    <row r="20" spans="1:103" s="19" customFormat="1" x14ac:dyDescent="0.2">
      <c r="A20" s="58">
        <v>17</v>
      </c>
      <c r="B20" s="14" t="s">
        <v>1429</v>
      </c>
      <c r="C20" s="14" t="s">
        <v>79</v>
      </c>
      <c r="D20" s="15" t="s">
        <v>19</v>
      </c>
      <c r="E20" s="15" t="s">
        <v>384</v>
      </c>
      <c r="F20" s="15">
        <v>2006</v>
      </c>
      <c r="G20" s="22" t="s">
        <v>28</v>
      </c>
      <c r="H20" s="24" t="s">
        <v>419</v>
      </c>
      <c r="I20" s="17" t="s">
        <v>8</v>
      </c>
      <c r="J20" s="27" t="s">
        <v>64</v>
      </c>
      <c r="K20" s="27" t="s">
        <v>366</v>
      </c>
      <c r="L20" s="17" t="s">
        <v>32</v>
      </c>
      <c r="M20" s="15" t="s">
        <v>25</v>
      </c>
      <c r="N20" s="17" t="s">
        <v>201</v>
      </c>
      <c r="O20" s="17" t="s">
        <v>404</v>
      </c>
      <c r="P20" s="17" t="s">
        <v>285</v>
      </c>
      <c r="Q20" s="17" t="s">
        <v>313</v>
      </c>
      <c r="R20" s="27" t="s">
        <v>420</v>
      </c>
      <c r="S20" s="17" t="s">
        <v>23</v>
      </c>
      <c r="T20" s="17" t="s">
        <v>685</v>
      </c>
      <c r="U20" s="17">
        <v>8</v>
      </c>
      <c r="V20" s="57">
        <v>7</v>
      </c>
      <c r="W20" s="57" t="str">
        <f t="shared" si="5"/>
        <v>L</v>
      </c>
      <c r="X20" s="17" t="s">
        <v>131</v>
      </c>
      <c r="Y20" s="17" t="s">
        <v>388</v>
      </c>
      <c r="Z20" s="31" t="s">
        <v>23</v>
      </c>
      <c r="AA20" s="17" t="s">
        <v>684</v>
      </c>
      <c r="AB20" s="17">
        <v>3</v>
      </c>
      <c r="AC20" s="15">
        <f t="shared" si="3"/>
        <v>3</v>
      </c>
      <c r="AD20" s="15" t="str">
        <f t="shared" si="4"/>
        <v>S</v>
      </c>
      <c r="AE20" s="27" t="s">
        <v>131</v>
      </c>
      <c r="AF20" s="17" t="s">
        <v>388</v>
      </c>
      <c r="AG20" s="17">
        <v>121</v>
      </c>
      <c r="AH20" s="17">
        <v>64</v>
      </c>
      <c r="AI20" s="17">
        <v>63</v>
      </c>
      <c r="AJ20" s="17">
        <v>56</v>
      </c>
      <c r="AK20" s="17">
        <f t="shared" si="7"/>
        <v>7</v>
      </c>
      <c r="AL20" s="47">
        <v>60</v>
      </c>
      <c r="AM20" s="17">
        <v>56</v>
      </c>
      <c r="AN20" s="47">
        <v>4</v>
      </c>
      <c r="AO20" s="47">
        <v>20</v>
      </c>
      <c r="AP20" s="17">
        <v>19</v>
      </c>
      <c r="AQ20" s="17">
        <v>1</v>
      </c>
      <c r="AR20" s="17">
        <v>1</v>
      </c>
      <c r="AS20" s="17">
        <v>13</v>
      </c>
      <c r="AT20" s="17"/>
      <c r="AU20" s="17"/>
      <c r="AV20" s="17"/>
      <c r="AW20" s="17"/>
      <c r="AX20" s="17">
        <v>8.9</v>
      </c>
      <c r="AY20" s="17"/>
      <c r="AZ20" s="17"/>
      <c r="BA20" s="17">
        <v>57</v>
      </c>
      <c r="BB20" s="17">
        <v>56</v>
      </c>
      <c r="BC20" s="17">
        <v>50</v>
      </c>
      <c r="BD20" s="17">
        <v>6</v>
      </c>
      <c r="BE20" s="47">
        <v>54</v>
      </c>
      <c r="BF20" s="17">
        <v>50</v>
      </c>
      <c r="BG20" s="47">
        <v>4</v>
      </c>
      <c r="BH20" s="17">
        <v>25</v>
      </c>
      <c r="BI20" s="17">
        <v>22</v>
      </c>
      <c r="BJ20" s="17">
        <v>3</v>
      </c>
      <c r="BK20" s="17">
        <v>1</v>
      </c>
      <c r="BL20" s="17">
        <v>6</v>
      </c>
      <c r="BM20" s="17"/>
      <c r="BN20" s="17"/>
      <c r="BO20" s="17"/>
      <c r="BP20" s="17"/>
      <c r="BQ20" s="17">
        <v>7.9</v>
      </c>
      <c r="BR20" s="17"/>
      <c r="BS20" s="17"/>
      <c r="BT20" s="17"/>
      <c r="BU20" s="17"/>
      <c r="BV20" s="17"/>
      <c r="BW20" s="17"/>
      <c r="BX20" s="17"/>
      <c r="BY20" s="17"/>
      <c r="BZ20" s="17"/>
      <c r="CA20" s="17"/>
      <c r="CB20" s="17"/>
      <c r="CC20" s="27" t="s">
        <v>421</v>
      </c>
      <c r="CD20" s="17"/>
      <c r="CE20" s="17"/>
      <c r="CF20" s="17"/>
      <c r="CG20" s="17"/>
      <c r="CH20" s="17"/>
      <c r="CI20" s="17"/>
      <c r="CJ20" s="17"/>
      <c r="CK20" s="17"/>
      <c r="CL20" s="17"/>
      <c r="CM20" s="17"/>
      <c r="CN20" s="18"/>
      <c r="CO20" s="18"/>
      <c r="CP20" s="18"/>
      <c r="CQ20" s="18"/>
      <c r="CR20" s="18"/>
      <c r="CS20" s="18"/>
      <c r="CT20" s="18"/>
      <c r="CU20" s="18"/>
      <c r="CV20" s="18"/>
      <c r="CW20" s="18"/>
      <c r="CX20" s="18"/>
      <c r="CY20" s="18"/>
    </row>
    <row r="21" spans="1:103" s="19" customFormat="1" x14ac:dyDescent="0.2">
      <c r="A21" s="58">
        <v>18</v>
      </c>
      <c r="B21" s="14" t="s">
        <v>1429</v>
      </c>
      <c r="C21" s="14" t="s">
        <v>79</v>
      </c>
      <c r="D21" s="15" t="s">
        <v>85</v>
      </c>
      <c r="E21" s="15"/>
      <c r="F21" s="15">
        <v>2012</v>
      </c>
      <c r="G21" s="22" t="s">
        <v>84</v>
      </c>
      <c r="H21" s="24" t="s">
        <v>86</v>
      </c>
      <c r="I21" s="17" t="s">
        <v>8</v>
      </c>
      <c r="J21" s="27" t="s">
        <v>686</v>
      </c>
      <c r="K21" s="27" t="s">
        <v>1473</v>
      </c>
      <c r="L21" s="17" t="s">
        <v>31</v>
      </c>
      <c r="M21" s="17" t="s">
        <v>11</v>
      </c>
      <c r="N21" s="17" t="s">
        <v>201</v>
      </c>
      <c r="O21" s="17" t="s">
        <v>404</v>
      </c>
      <c r="P21" s="17" t="s">
        <v>285</v>
      </c>
      <c r="Q21" s="16" t="s">
        <v>1118</v>
      </c>
      <c r="R21" s="27" t="s">
        <v>687</v>
      </c>
      <c r="S21" s="17" t="s">
        <v>87</v>
      </c>
      <c r="T21" s="17" t="s">
        <v>88</v>
      </c>
      <c r="U21" s="17">
        <v>7</v>
      </c>
      <c r="V21" s="57">
        <f t="shared" si="1"/>
        <v>7</v>
      </c>
      <c r="W21" s="57" t="str">
        <f t="shared" si="5"/>
        <v>L</v>
      </c>
      <c r="X21" s="17" t="s">
        <v>407</v>
      </c>
      <c r="Y21" s="17" t="s">
        <v>688</v>
      </c>
      <c r="Z21" s="31" t="s">
        <v>54</v>
      </c>
      <c r="AA21" s="17" t="s">
        <v>55</v>
      </c>
      <c r="AB21" s="17">
        <v>7</v>
      </c>
      <c r="AC21" s="15">
        <f t="shared" si="3"/>
        <v>7</v>
      </c>
      <c r="AD21" s="15" t="str">
        <f t="shared" si="4"/>
        <v>L</v>
      </c>
      <c r="AE21" s="27" t="s">
        <v>16</v>
      </c>
      <c r="AF21" s="17" t="s">
        <v>14</v>
      </c>
      <c r="AG21" s="17">
        <v>584</v>
      </c>
      <c r="AH21" s="17">
        <v>553</v>
      </c>
      <c r="AI21" s="17">
        <v>518</v>
      </c>
      <c r="AJ21" s="17">
        <v>430</v>
      </c>
      <c r="AK21" s="17">
        <f t="shared" si="7"/>
        <v>88</v>
      </c>
      <c r="AL21" s="47">
        <v>442</v>
      </c>
      <c r="AM21" s="17">
        <v>410</v>
      </c>
      <c r="AN21" s="47">
        <f>+AL21-AM21</f>
        <v>32</v>
      </c>
      <c r="AO21" s="47">
        <f>26+63+18+5+11+4+30</f>
        <v>157</v>
      </c>
      <c r="AP21" s="17">
        <f>24+56+15+4+11+4+29</f>
        <v>143</v>
      </c>
      <c r="AQ21" s="17">
        <f>+AO21-AP21</f>
        <v>14</v>
      </c>
      <c r="AR21" s="17"/>
      <c r="AS21" s="17">
        <f>74+66</f>
        <v>140</v>
      </c>
      <c r="AT21" s="17"/>
      <c r="AU21" s="17"/>
      <c r="AV21" s="17"/>
      <c r="AW21" s="17"/>
      <c r="AX21" s="17"/>
      <c r="AY21" s="17"/>
      <c r="AZ21" s="17"/>
      <c r="BA21" s="17">
        <v>553</v>
      </c>
      <c r="BB21" s="17">
        <v>507</v>
      </c>
      <c r="BC21" s="17">
        <v>430</v>
      </c>
      <c r="BD21" s="17">
        <v>77</v>
      </c>
      <c r="BE21" s="47">
        <v>429</v>
      </c>
      <c r="BF21" s="17">
        <v>407</v>
      </c>
      <c r="BG21" s="47">
        <f>+BE21-BF21</f>
        <v>22</v>
      </c>
      <c r="BH21" s="17">
        <f>28+46+22+10+9+7+35</f>
        <v>157</v>
      </c>
      <c r="BI21" s="17">
        <f>25+41+21+10+9+7+35</f>
        <v>148</v>
      </c>
      <c r="BJ21" s="17">
        <f>+BH21-BI21</f>
        <v>9</v>
      </c>
      <c r="BK21" s="17"/>
      <c r="BL21" s="17">
        <f>61+45</f>
        <v>106</v>
      </c>
      <c r="BM21" s="17"/>
      <c r="BN21" s="17"/>
      <c r="BO21" s="17"/>
      <c r="BP21" s="17"/>
      <c r="BQ21" s="17"/>
      <c r="BR21" s="17"/>
      <c r="BS21" s="17"/>
      <c r="BT21" s="17">
        <f>31+34+52+70+23+25+7+10+13+12+5+9+41+31</f>
        <v>363</v>
      </c>
      <c r="BU21" s="17">
        <f>28+26</f>
        <v>54</v>
      </c>
      <c r="BV21" s="17">
        <f>44+57</f>
        <v>101</v>
      </c>
      <c r="BW21" s="17"/>
      <c r="BX21" s="17"/>
      <c r="BY21" s="17">
        <f>16+21</f>
        <v>37</v>
      </c>
      <c r="BZ21" s="17">
        <f>12+5+31+41+9+13</f>
        <v>111</v>
      </c>
      <c r="CA21" s="17"/>
      <c r="CB21" s="17"/>
      <c r="CC21" s="17"/>
      <c r="CD21" s="17"/>
      <c r="CE21" s="17"/>
      <c r="CF21" s="17"/>
      <c r="CG21" s="17"/>
      <c r="CH21" s="17"/>
      <c r="CI21" s="17"/>
      <c r="CJ21" s="17"/>
      <c r="CK21" s="17"/>
      <c r="CL21" s="17"/>
      <c r="CM21" s="17"/>
      <c r="CN21" s="18"/>
      <c r="CO21" s="18"/>
      <c r="CP21" s="18"/>
      <c r="CQ21" s="18"/>
      <c r="CR21" s="18"/>
      <c r="CS21" s="18"/>
      <c r="CT21" s="18"/>
      <c r="CU21" s="18"/>
      <c r="CV21" s="18"/>
      <c r="CW21" s="18"/>
      <c r="CX21" s="18"/>
      <c r="CY21" s="18"/>
    </row>
    <row r="22" spans="1:103" s="19" customFormat="1" x14ac:dyDescent="0.2">
      <c r="A22" s="58">
        <v>19</v>
      </c>
      <c r="B22" s="14" t="s">
        <v>1429</v>
      </c>
      <c r="C22" s="14" t="s">
        <v>79</v>
      </c>
      <c r="D22" s="15" t="s">
        <v>20</v>
      </c>
      <c r="E22" s="15" t="s">
        <v>384</v>
      </c>
      <c r="F22" s="15">
        <v>2007</v>
      </c>
      <c r="G22" s="22" t="s">
        <v>27</v>
      </c>
      <c r="H22" s="24" t="s">
        <v>424</v>
      </c>
      <c r="I22" s="17" t="s">
        <v>8</v>
      </c>
      <c r="J22" s="27" t="s">
        <v>425</v>
      </c>
      <c r="K22" s="27" t="s">
        <v>1473</v>
      </c>
      <c r="L22" s="17" t="s">
        <v>31</v>
      </c>
      <c r="M22" s="17" t="s">
        <v>11</v>
      </c>
      <c r="N22" s="17" t="s">
        <v>201</v>
      </c>
      <c r="O22" s="17" t="s">
        <v>404</v>
      </c>
      <c r="P22" s="17" t="s">
        <v>285</v>
      </c>
      <c r="Q22" s="17" t="s">
        <v>313</v>
      </c>
      <c r="R22" s="27" t="s">
        <v>426</v>
      </c>
      <c r="S22" s="17" t="s">
        <v>24</v>
      </c>
      <c r="T22" s="17" t="s">
        <v>445</v>
      </c>
      <c r="U22" s="17">
        <v>5</v>
      </c>
      <c r="V22" s="57">
        <f t="shared" si="1"/>
        <v>5</v>
      </c>
      <c r="W22" s="57" t="str">
        <f t="shared" si="5"/>
        <v>S</v>
      </c>
      <c r="X22" s="17" t="s">
        <v>13</v>
      </c>
      <c r="Y22" s="17" t="s">
        <v>14</v>
      </c>
      <c r="Z22" s="31" t="s">
        <v>24</v>
      </c>
      <c r="AA22" s="17" t="s">
        <v>56</v>
      </c>
      <c r="AB22" s="17">
        <v>7</v>
      </c>
      <c r="AC22" s="15">
        <f t="shared" si="3"/>
        <v>7</v>
      </c>
      <c r="AD22" s="15" t="str">
        <f t="shared" si="4"/>
        <v>L</v>
      </c>
      <c r="AE22" s="27" t="s">
        <v>13</v>
      </c>
      <c r="AF22" s="17" t="s">
        <v>14</v>
      </c>
      <c r="AG22" s="17">
        <f>256+254</f>
        <v>510</v>
      </c>
      <c r="AH22" s="17">
        <v>256</v>
      </c>
      <c r="AI22" s="17">
        <v>256</v>
      </c>
      <c r="AJ22" s="17">
        <v>240</v>
      </c>
      <c r="AK22" s="17">
        <f t="shared" si="7"/>
        <v>16</v>
      </c>
      <c r="AL22" s="47">
        <v>247</v>
      </c>
      <c r="AM22" s="17">
        <v>236</v>
      </c>
      <c r="AN22" s="47">
        <f>+AL22-AM22</f>
        <v>11</v>
      </c>
      <c r="AO22" s="47">
        <f>26+23+19+26+15</f>
        <v>109</v>
      </c>
      <c r="AP22" s="17">
        <f>26+22+18+24+13</f>
        <v>103</v>
      </c>
      <c r="AQ22" s="17">
        <v>6</v>
      </c>
      <c r="AR22" s="17"/>
      <c r="AS22" s="17"/>
      <c r="AT22" s="17"/>
      <c r="AU22" s="17">
        <v>8</v>
      </c>
      <c r="AV22" s="17"/>
      <c r="AW22" s="17">
        <v>0</v>
      </c>
      <c r="AX22" s="17">
        <v>7.9</v>
      </c>
      <c r="AY22" s="17"/>
      <c r="AZ22" s="17"/>
      <c r="BA22" s="17">
        <v>254</v>
      </c>
      <c r="BB22" s="17">
        <v>254</v>
      </c>
      <c r="BC22" s="17">
        <v>234</v>
      </c>
      <c r="BD22" s="17">
        <v>20</v>
      </c>
      <c r="BE22" s="47">
        <v>236</v>
      </c>
      <c r="BF22" s="17">
        <v>226</v>
      </c>
      <c r="BG22" s="47">
        <f>+BE22-BF22</f>
        <v>10</v>
      </c>
      <c r="BH22" s="17">
        <f>42+19+32+20+25</f>
        <v>138</v>
      </c>
      <c r="BI22" s="17">
        <f>24+20+31+19+40</f>
        <v>134</v>
      </c>
      <c r="BJ22" s="17">
        <v>4</v>
      </c>
      <c r="BK22" s="17"/>
      <c r="BL22" s="17"/>
      <c r="BM22" s="17"/>
      <c r="BN22" s="17">
        <v>14</v>
      </c>
      <c r="BO22" s="17"/>
      <c r="BP22" s="17">
        <v>1</v>
      </c>
      <c r="BQ22" s="17">
        <v>8.9</v>
      </c>
      <c r="BR22" s="17"/>
      <c r="BS22" s="17"/>
      <c r="BT22" s="17">
        <f>42+26+23+19+19+32+20+26+15+25</f>
        <v>247</v>
      </c>
      <c r="BU22" s="17">
        <f>42+26</f>
        <v>68</v>
      </c>
      <c r="BV22" s="17">
        <f>19+23</f>
        <v>42</v>
      </c>
      <c r="BW22" s="17"/>
      <c r="BX22" s="17"/>
      <c r="BY22" s="17">
        <f>15+25</f>
        <v>40</v>
      </c>
      <c r="BZ22" s="17">
        <f>19+26+32+20</f>
        <v>97</v>
      </c>
      <c r="CA22" s="17"/>
      <c r="CB22" s="17"/>
      <c r="CC22" s="17"/>
      <c r="CD22" s="17"/>
      <c r="CE22" s="17"/>
      <c r="CF22" s="17"/>
      <c r="CG22" s="17"/>
      <c r="CH22" s="17"/>
      <c r="CI22" s="17"/>
      <c r="CJ22" s="17"/>
      <c r="CK22" s="17"/>
      <c r="CL22" s="17"/>
      <c r="CM22" s="17"/>
      <c r="CN22" s="18"/>
      <c r="CO22" s="18"/>
      <c r="CP22" s="18"/>
      <c r="CQ22" s="18"/>
      <c r="CR22" s="18"/>
      <c r="CS22" s="18"/>
      <c r="CT22" s="18"/>
      <c r="CU22" s="18"/>
      <c r="CV22" s="18"/>
      <c r="CW22" s="18"/>
      <c r="CX22" s="18"/>
      <c r="CY22" s="18"/>
    </row>
    <row r="23" spans="1:103" s="19" customFormat="1" x14ac:dyDescent="0.2">
      <c r="A23" s="58">
        <v>20</v>
      </c>
      <c r="B23" s="14" t="s">
        <v>1429</v>
      </c>
      <c r="C23" s="14" t="s">
        <v>79</v>
      </c>
      <c r="D23" s="15" t="s">
        <v>20</v>
      </c>
      <c r="E23" s="15"/>
      <c r="F23" s="15">
        <v>2010</v>
      </c>
      <c r="G23" s="22" t="s">
        <v>666</v>
      </c>
      <c r="H23" s="24" t="s">
        <v>689</v>
      </c>
      <c r="I23" s="17" t="s">
        <v>8</v>
      </c>
      <c r="J23" s="27" t="s">
        <v>38</v>
      </c>
      <c r="K23" s="27" t="s">
        <v>1473</v>
      </c>
      <c r="L23" s="17" t="s">
        <v>32</v>
      </c>
      <c r="M23" s="15" t="s">
        <v>25</v>
      </c>
      <c r="N23" s="17" t="s">
        <v>201</v>
      </c>
      <c r="O23" s="17" t="s">
        <v>404</v>
      </c>
      <c r="P23" s="17" t="s">
        <v>285</v>
      </c>
      <c r="Q23" s="17" t="s">
        <v>313</v>
      </c>
      <c r="R23" s="27" t="s">
        <v>690</v>
      </c>
      <c r="S23" s="17" t="s">
        <v>691</v>
      </c>
      <c r="T23" s="17" t="s">
        <v>698</v>
      </c>
      <c r="U23" s="17" t="s">
        <v>693</v>
      </c>
      <c r="V23" s="57">
        <v>6</v>
      </c>
      <c r="W23" s="57" t="str">
        <f t="shared" si="5"/>
        <v>L</v>
      </c>
      <c r="X23" s="17" t="s">
        <v>511</v>
      </c>
      <c r="Y23" s="17" t="s">
        <v>679</v>
      </c>
      <c r="Z23" s="31" t="s">
        <v>152</v>
      </c>
      <c r="AA23" s="17" t="s">
        <v>692</v>
      </c>
      <c r="AB23" s="17" t="s">
        <v>693</v>
      </c>
      <c r="AC23" s="15">
        <v>7</v>
      </c>
      <c r="AD23" s="15" t="str">
        <f t="shared" si="4"/>
        <v>L</v>
      </c>
      <c r="AE23" s="27" t="s">
        <v>511</v>
      </c>
      <c r="AF23" s="17" t="s">
        <v>14</v>
      </c>
      <c r="AG23" s="17"/>
      <c r="AH23" s="17"/>
      <c r="AI23" s="17">
        <v>580</v>
      </c>
      <c r="AJ23" s="17">
        <v>479</v>
      </c>
      <c r="AK23" s="17">
        <f t="shared" si="7"/>
        <v>101</v>
      </c>
      <c r="AL23" s="47">
        <v>459</v>
      </c>
      <c r="AM23" s="17">
        <v>387</v>
      </c>
      <c r="AN23" s="47">
        <f>+AL23-AM23</f>
        <v>72</v>
      </c>
      <c r="AO23" s="47">
        <f>69+25+20+17+15+12</f>
        <v>158</v>
      </c>
      <c r="AP23" s="17">
        <f>59+18+17+16+14+10</f>
        <v>134</v>
      </c>
      <c r="AQ23" s="17">
        <f>+AO23-AP23</f>
        <v>24</v>
      </c>
      <c r="AR23" s="17">
        <v>0</v>
      </c>
      <c r="AS23" s="17">
        <v>288</v>
      </c>
      <c r="AT23" s="17"/>
      <c r="AU23" s="17">
        <v>2</v>
      </c>
      <c r="AV23" s="17"/>
      <c r="AW23" s="17">
        <v>15</v>
      </c>
      <c r="AX23" s="17"/>
      <c r="AY23" s="17"/>
      <c r="AZ23" s="17"/>
      <c r="BA23" s="17"/>
      <c r="BB23" s="17">
        <v>573</v>
      </c>
      <c r="BC23" s="17">
        <v>439</v>
      </c>
      <c r="BD23" s="17">
        <v>134</v>
      </c>
      <c r="BE23" s="47">
        <v>449</v>
      </c>
      <c r="BF23" s="17">
        <v>349</v>
      </c>
      <c r="BG23" s="47">
        <f>+BE23-BF23</f>
        <v>100</v>
      </c>
      <c r="BH23" s="17">
        <f>70+30+24+18+13+13</f>
        <v>168</v>
      </c>
      <c r="BI23" s="17">
        <f>48+18+20+15+10+9</f>
        <v>120</v>
      </c>
      <c r="BJ23" s="17">
        <f>+BH23-BI23</f>
        <v>48</v>
      </c>
      <c r="BK23" s="17">
        <v>0</v>
      </c>
      <c r="BL23" s="17">
        <v>281</v>
      </c>
      <c r="BM23" s="17"/>
      <c r="BN23" s="17">
        <v>3</v>
      </c>
      <c r="BO23" s="17"/>
      <c r="BP23" s="17">
        <v>12</v>
      </c>
      <c r="BQ23" s="17"/>
      <c r="BR23" s="17"/>
      <c r="BS23" s="17"/>
      <c r="BT23" s="17">
        <f>69+25+20+17+15+12+13+13+18+24+30+70</f>
        <v>326</v>
      </c>
      <c r="BU23" s="17">
        <f>69+70</f>
        <v>139</v>
      </c>
      <c r="BV23" s="17">
        <v>44</v>
      </c>
      <c r="BW23" s="17">
        <v>28</v>
      </c>
      <c r="BX23" s="17"/>
      <c r="BY23" s="17">
        <v>55</v>
      </c>
      <c r="BZ23" s="17"/>
      <c r="CA23" s="17">
        <v>4</v>
      </c>
      <c r="CB23" s="17">
        <v>11</v>
      </c>
      <c r="CC23" s="27" t="s">
        <v>694</v>
      </c>
      <c r="CD23" s="17"/>
      <c r="CE23" s="17"/>
      <c r="CF23" s="17"/>
      <c r="CG23" s="17"/>
      <c r="CH23" s="17"/>
      <c r="CI23" s="17"/>
      <c r="CJ23" s="17"/>
      <c r="CK23" s="17"/>
      <c r="CL23" s="17"/>
      <c r="CM23" s="17"/>
      <c r="CN23" s="18"/>
      <c r="CO23" s="18"/>
      <c r="CP23" s="18"/>
      <c r="CQ23" s="18"/>
      <c r="CR23" s="18"/>
      <c r="CS23" s="18"/>
      <c r="CT23" s="18"/>
      <c r="CU23" s="18"/>
      <c r="CV23" s="18"/>
      <c r="CW23" s="18"/>
      <c r="CX23" s="18"/>
      <c r="CY23" s="18"/>
    </row>
    <row r="24" spans="1:103" s="19" customFormat="1" ht="15" customHeight="1" x14ac:dyDescent="0.2">
      <c r="A24" s="58">
        <v>21</v>
      </c>
      <c r="B24" s="14" t="s">
        <v>1429</v>
      </c>
      <c r="C24" s="14" t="s">
        <v>79</v>
      </c>
      <c r="D24" s="15" t="s">
        <v>20</v>
      </c>
      <c r="E24" s="15"/>
      <c r="F24" s="15">
        <v>1997</v>
      </c>
      <c r="G24" s="22" t="s">
        <v>667</v>
      </c>
      <c r="H24" s="24" t="s">
        <v>695</v>
      </c>
      <c r="I24" s="17" t="s">
        <v>8</v>
      </c>
      <c r="J24" s="27" t="s">
        <v>35</v>
      </c>
      <c r="K24" s="27" t="s">
        <v>1472</v>
      </c>
      <c r="L24" s="15" t="s">
        <v>68</v>
      </c>
      <c r="M24" s="17" t="s">
        <v>333</v>
      </c>
      <c r="N24" s="17" t="s">
        <v>201</v>
      </c>
      <c r="O24" s="17" t="s">
        <v>390</v>
      </c>
      <c r="P24" s="31" t="s">
        <v>333</v>
      </c>
      <c r="Q24" s="17" t="s">
        <v>313</v>
      </c>
      <c r="R24" s="48" t="s">
        <v>697</v>
      </c>
      <c r="S24" s="17" t="s">
        <v>33</v>
      </c>
      <c r="T24" s="17" t="s">
        <v>405</v>
      </c>
      <c r="U24" s="17" t="s">
        <v>354</v>
      </c>
      <c r="V24" s="57">
        <v>10</v>
      </c>
      <c r="W24" s="57" t="str">
        <f t="shared" si="5"/>
        <v>L</v>
      </c>
      <c r="X24" s="17" t="s">
        <v>13</v>
      </c>
      <c r="Y24" s="17" t="s">
        <v>14</v>
      </c>
      <c r="Z24" s="31" t="s">
        <v>1457</v>
      </c>
      <c r="AA24" s="27" t="s">
        <v>696</v>
      </c>
      <c r="AB24" s="17" t="s">
        <v>354</v>
      </c>
      <c r="AC24" s="15">
        <v>10</v>
      </c>
      <c r="AD24" s="15" t="str">
        <f t="shared" si="4"/>
        <v>L</v>
      </c>
      <c r="AE24" s="27" t="s">
        <v>511</v>
      </c>
      <c r="AF24" s="17" t="s">
        <v>14</v>
      </c>
      <c r="AG24" s="17">
        <v>590</v>
      </c>
      <c r="AH24" s="17">
        <v>295</v>
      </c>
      <c r="AI24" s="17">
        <v>295</v>
      </c>
      <c r="AJ24" s="17"/>
      <c r="AK24" s="17"/>
      <c r="AL24" s="47">
        <v>226</v>
      </c>
      <c r="AM24" s="17">
        <f>+AL24-AN24</f>
        <v>218</v>
      </c>
      <c r="AN24" s="47">
        <v>8</v>
      </c>
      <c r="AO24" s="47">
        <f>30+30+10+8+7+3+20+9</f>
        <v>117</v>
      </c>
      <c r="AP24" s="17">
        <f>30+30+10+7+7+3+19+9</f>
        <v>115</v>
      </c>
      <c r="AQ24" s="17">
        <f>+AO24-AP24</f>
        <v>2</v>
      </c>
      <c r="AR24" s="17"/>
      <c r="AS24" s="17"/>
      <c r="AT24" s="17">
        <v>17</v>
      </c>
      <c r="AU24" s="17"/>
      <c r="AV24" s="17"/>
      <c r="AW24" s="47">
        <f>295*0.036</f>
        <v>10.62</v>
      </c>
      <c r="AX24" s="17"/>
      <c r="AY24" s="17"/>
      <c r="AZ24" s="17"/>
      <c r="BA24" s="17">
        <v>295</v>
      </c>
      <c r="BB24" s="17">
        <v>295</v>
      </c>
      <c r="BC24" s="17"/>
      <c r="BD24" s="17"/>
      <c r="BE24" s="47">
        <v>230</v>
      </c>
      <c r="BF24" s="17">
        <f>+BE24-BG24</f>
        <v>208</v>
      </c>
      <c r="BG24" s="47">
        <v>22</v>
      </c>
      <c r="BH24" s="17">
        <f>24+32+9+21+9+8+29+8+1+1</f>
        <v>142</v>
      </c>
      <c r="BI24" s="17">
        <f>19+31+9+15+6+8+27+8+1</f>
        <v>124</v>
      </c>
      <c r="BJ24" s="17">
        <f>+BH24-BI24</f>
        <v>18</v>
      </c>
      <c r="BK24" s="17"/>
      <c r="BL24" s="17"/>
      <c r="BM24" s="17">
        <v>25</v>
      </c>
      <c r="BN24" s="17"/>
      <c r="BO24" s="17"/>
      <c r="BP24" s="47">
        <f>295*0.056</f>
        <v>16.52</v>
      </c>
      <c r="BQ24" s="17"/>
      <c r="BR24" s="17"/>
      <c r="BS24" s="17"/>
      <c r="BT24" s="17">
        <f>30+30+10+8+7+3+20+9+24+32+9+21+7+8+29+8+1+1</f>
        <v>257</v>
      </c>
      <c r="BU24" s="17">
        <f>62+9+8</f>
        <v>79</v>
      </c>
      <c r="BV24" s="17">
        <f>54+1</f>
        <v>55</v>
      </c>
      <c r="BW24" s="17">
        <f>1+11</f>
        <v>12</v>
      </c>
      <c r="BX24" s="17"/>
      <c r="BY24" s="17">
        <v>19</v>
      </c>
      <c r="BZ24" s="17">
        <v>150</v>
      </c>
      <c r="CA24" s="17"/>
      <c r="CB24" s="17"/>
      <c r="CC24" s="17"/>
      <c r="CD24" s="17"/>
      <c r="CE24" s="17"/>
      <c r="CF24" s="17"/>
      <c r="CG24" s="17"/>
      <c r="CH24" s="17"/>
      <c r="CI24" s="17"/>
      <c r="CJ24" s="17"/>
      <c r="CK24" s="17"/>
      <c r="CL24" s="17"/>
      <c r="CM24" s="17"/>
      <c r="CN24" s="18"/>
      <c r="CO24" s="18"/>
      <c r="CP24" s="18"/>
      <c r="CQ24" s="18"/>
      <c r="CR24" s="18"/>
      <c r="CS24" s="18"/>
      <c r="CT24" s="18"/>
      <c r="CU24" s="18"/>
      <c r="CV24" s="18"/>
      <c r="CW24" s="18"/>
      <c r="CX24" s="18"/>
      <c r="CY24" s="18"/>
    </row>
    <row r="25" spans="1:103" s="19" customFormat="1" x14ac:dyDescent="0.2">
      <c r="A25" s="58">
        <v>22</v>
      </c>
      <c r="B25" s="14" t="s">
        <v>1429</v>
      </c>
      <c r="C25" s="14" t="s">
        <v>79</v>
      </c>
      <c r="D25" s="15" t="s">
        <v>69</v>
      </c>
      <c r="E25" s="15" t="s">
        <v>384</v>
      </c>
      <c r="F25" s="15">
        <v>2005</v>
      </c>
      <c r="G25" s="22" t="s">
        <v>72</v>
      </c>
      <c r="H25" s="24" t="s">
        <v>73</v>
      </c>
      <c r="I25" s="17" t="s">
        <v>8</v>
      </c>
      <c r="J25" s="27" t="s">
        <v>432</v>
      </c>
      <c r="K25" s="27" t="s">
        <v>366</v>
      </c>
      <c r="L25" s="15" t="s">
        <v>68</v>
      </c>
      <c r="M25" s="15" t="s">
        <v>25</v>
      </c>
      <c r="N25" s="17" t="s">
        <v>201</v>
      </c>
      <c r="O25" s="17" t="s">
        <v>404</v>
      </c>
      <c r="P25" s="17" t="s">
        <v>167</v>
      </c>
      <c r="Q25" s="17" t="s">
        <v>313</v>
      </c>
      <c r="R25" s="27" t="s">
        <v>433</v>
      </c>
      <c r="S25" s="17" t="s">
        <v>50</v>
      </c>
      <c r="T25" s="27" t="s">
        <v>699</v>
      </c>
      <c r="U25" s="17" t="s">
        <v>70</v>
      </c>
      <c r="V25" s="57">
        <v>5</v>
      </c>
      <c r="W25" s="57" t="str">
        <f t="shared" si="5"/>
        <v>S</v>
      </c>
      <c r="X25" s="17" t="s">
        <v>16</v>
      </c>
      <c r="Y25" s="17" t="s">
        <v>14</v>
      </c>
      <c r="Z25" s="31" t="s">
        <v>21</v>
      </c>
      <c r="AA25" s="27" t="s">
        <v>700</v>
      </c>
      <c r="AB25" s="17" t="s">
        <v>71</v>
      </c>
      <c r="AC25" s="15">
        <v>10</v>
      </c>
      <c r="AD25" s="15" t="str">
        <f t="shared" si="4"/>
        <v>L</v>
      </c>
      <c r="AE25" s="27" t="s">
        <v>511</v>
      </c>
      <c r="AF25" s="17" t="s">
        <v>388</v>
      </c>
      <c r="AG25" s="17">
        <f>89+91</f>
        <v>180</v>
      </c>
      <c r="AH25" s="17">
        <v>89</v>
      </c>
      <c r="AI25" s="17">
        <v>82</v>
      </c>
      <c r="AJ25" s="17">
        <v>67</v>
      </c>
      <c r="AK25" s="17">
        <f t="shared" ref="AK25:AK32" si="8">+AI25-AJ25</f>
        <v>15</v>
      </c>
      <c r="AL25" s="47">
        <v>61</v>
      </c>
      <c r="AM25" s="17">
        <v>53</v>
      </c>
      <c r="AN25" s="47">
        <v>8</v>
      </c>
      <c r="AO25" s="47">
        <v>16</v>
      </c>
      <c r="AP25" s="17">
        <v>12</v>
      </c>
      <c r="AQ25" s="17">
        <v>4</v>
      </c>
      <c r="AR25" s="17"/>
      <c r="AS25" s="17">
        <v>34</v>
      </c>
      <c r="AT25" s="17">
        <f>2+9+12</f>
        <v>23</v>
      </c>
      <c r="AU25" s="17">
        <v>4</v>
      </c>
      <c r="AV25" s="17"/>
      <c r="AW25" s="17"/>
      <c r="AX25" s="17"/>
      <c r="AY25" s="17"/>
      <c r="AZ25" s="17"/>
      <c r="BA25" s="17">
        <v>91</v>
      </c>
      <c r="BB25" s="17">
        <v>89</v>
      </c>
      <c r="BC25" s="17">
        <v>73</v>
      </c>
      <c r="BD25" s="17">
        <v>16</v>
      </c>
      <c r="BE25" s="47">
        <v>54</v>
      </c>
      <c r="BF25" s="17">
        <v>50</v>
      </c>
      <c r="BG25" s="47">
        <v>4</v>
      </c>
      <c r="BH25" s="17">
        <v>22</v>
      </c>
      <c r="BI25" s="17">
        <v>18</v>
      </c>
      <c r="BJ25" s="17">
        <v>4</v>
      </c>
      <c r="BK25" s="17"/>
      <c r="BL25" s="17">
        <v>27</v>
      </c>
      <c r="BM25" s="17">
        <v>12</v>
      </c>
      <c r="BN25" s="17">
        <v>1</v>
      </c>
      <c r="BO25" s="17"/>
      <c r="BP25" s="17"/>
      <c r="BQ25" s="17"/>
      <c r="BR25" s="17"/>
      <c r="BS25" s="17"/>
      <c r="BT25" s="17">
        <v>85</v>
      </c>
      <c r="BU25" s="17">
        <v>14</v>
      </c>
      <c r="BV25" s="17"/>
      <c r="BW25" s="17"/>
      <c r="BX25" s="17"/>
      <c r="BY25" s="17"/>
      <c r="BZ25" s="17">
        <v>67</v>
      </c>
      <c r="CA25" s="17"/>
      <c r="CB25" s="17"/>
      <c r="CC25" s="17"/>
      <c r="CD25" s="17"/>
      <c r="CE25" s="17"/>
      <c r="CF25" s="17"/>
      <c r="CG25" s="17"/>
      <c r="CH25" s="17"/>
      <c r="CI25" s="17"/>
      <c r="CJ25" s="17"/>
      <c r="CK25" s="17"/>
      <c r="CL25" s="17"/>
      <c r="CM25" s="17"/>
      <c r="CN25" s="18"/>
      <c r="CO25" s="18"/>
      <c r="CP25" s="18"/>
      <c r="CQ25" s="18"/>
      <c r="CR25" s="18"/>
      <c r="CS25" s="18"/>
      <c r="CT25" s="18"/>
      <c r="CU25" s="18"/>
      <c r="CV25" s="18"/>
      <c r="CW25" s="18"/>
      <c r="CX25" s="18"/>
      <c r="CY25" s="18"/>
    </row>
    <row r="26" spans="1:103" s="19" customFormat="1" x14ac:dyDescent="0.2">
      <c r="A26" s="58">
        <v>23</v>
      </c>
      <c r="B26" s="14" t="s">
        <v>1429</v>
      </c>
      <c r="C26" s="14" t="s">
        <v>79</v>
      </c>
      <c r="D26" s="15" t="s">
        <v>668</v>
      </c>
      <c r="E26" s="15"/>
      <c r="F26" s="15">
        <v>2017</v>
      </c>
      <c r="G26" s="22" t="s">
        <v>669</v>
      </c>
      <c r="H26" s="24" t="s">
        <v>701</v>
      </c>
      <c r="I26" s="17" t="s">
        <v>8</v>
      </c>
      <c r="J26" s="27" t="s">
        <v>36</v>
      </c>
      <c r="K26" s="27" t="s">
        <v>1471</v>
      </c>
      <c r="L26" s="17" t="s">
        <v>31</v>
      </c>
      <c r="M26" s="17" t="s">
        <v>333</v>
      </c>
      <c r="N26" s="17" t="s">
        <v>201</v>
      </c>
      <c r="O26" s="17" t="s">
        <v>404</v>
      </c>
      <c r="P26" s="17" t="s">
        <v>285</v>
      </c>
      <c r="Q26" s="17" t="s">
        <v>313</v>
      </c>
      <c r="R26" s="27" t="s">
        <v>703</v>
      </c>
      <c r="S26" s="17" t="s">
        <v>92</v>
      </c>
      <c r="T26" s="17" t="s">
        <v>405</v>
      </c>
      <c r="U26" s="17" t="s">
        <v>548</v>
      </c>
      <c r="V26" s="57">
        <v>8</v>
      </c>
      <c r="W26" s="57" t="str">
        <f t="shared" si="5"/>
        <v>L</v>
      </c>
      <c r="X26" s="17" t="s">
        <v>702</v>
      </c>
      <c r="Y26" s="17" t="s">
        <v>14</v>
      </c>
      <c r="Z26" s="31" t="s">
        <v>33</v>
      </c>
      <c r="AA26" s="17" t="s">
        <v>405</v>
      </c>
      <c r="AB26" s="17" t="s">
        <v>548</v>
      </c>
      <c r="AC26" s="15">
        <v>10</v>
      </c>
      <c r="AD26" s="15" t="str">
        <f t="shared" si="4"/>
        <v>L</v>
      </c>
      <c r="AE26" s="17" t="s">
        <v>13</v>
      </c>
      <c r="AF26" s="17" t="s">
        <v>14</v>
      </c>
      <c r="AG26" s="17">
        <f>65+62</f>
        <v>127</v>
      </c>
      <c r="AH26" s="17">
        <v>65</v>
      </c>
      <c r="AI26" s="17">
        <v>60</v>
      </c>
      <c r="AJ26" s="17">
        <v>56</v>
      </c>
      <c r="AK26" s="17">
        <f t="shared" si="8"/>
        <v>4</v>
      </c>
      <c r="AL26" s="47">
        <v>57</v>
      </c>
      <c r="AM26" s="17">
        <v>53</v>
      </c>
      <c r="AN26" s="47">
        <v>4</v>
      </c>
      <c r="AO26" s="47">
        <v>17</v>
      </c>
      <c r="AP26" s="17">
        <v>14</v>
      </c>
      <c r="AQ26" s="17">
        <v>3</v>
      </c>
      <c r="AR26" s="17"/>
      <c r="AS26" s="17"/>
      <c r="AT26" s="17">
        <v>19</v>
      </c>
      <c r="AU26" s="17"/>
      <c r="AV26" s="17"/>
      <c r="AW26" s="17"/>
      <c r="AX26" s="17"/>
      <c r="AY26" s="17"/>
      <c r="AZ26" s="17"/>
      <c r="BA26" s="17">
        <v>62</v>
      </c>
      <c r="BB26" s="17">
        <v>52</v>
      </c>
      <c r="BC26" s="17">
        <v>46</v>
      </c>
      <c r="BD26" s="17">
        <v>6</v>
      </c>
      <c r="BE26" s="47">
        <v>45</v>
      </c>
      <c r="BF26" s="17">
        <v>40</v>
      </c>
      <c r="BG26" s="47">
        <v>5</v>
      </c>
      <c r="BH26" s="17">
        <v>16</v>
      </c>
      <c r="BI26" s="17">
        <v>13</v>
      </c>
      <c r="BJ26" s="17">
        <v>3</v>
      </c>
      <c r="BK26" s="17"/>
      <c r="BL26" s="17"/>
      <c r="BM26" s="17">
        <v>14</v>
      </c>
      <c r="BN26" s="17"/>
      <c r="BO26" s="17"/>
      <c r="BP26" s="17"/>
      <c r="BQ26" s="17"/>
      <c r="BR26" s="17"/>
      <c r="BS26" s="17"/>
      <c r="BT26" s="17">
        <f>2+2+3+4+4+4+2+9+9+9</f>
        <v>48</v>
      </c>
      <c r="BU26" s="17">
        <v>6</v>
      </c>
      <c r="BV26" s="17">
        <v>7</v>
      </c>
      <c r="BW26" s="17">
        <v>13</v>
      </c>
      <c r="BX26" s="17"/>
      <c r="BY26" s="17">
        <v>2</v>
      </c>
      <c r="BZ26" s="17">
        <v>18</v>
      </c>
      <c r="CA26" s="17">
        <v>0</v>
      </c>
      <c r="CB26" s="17">
        <v>0</v>
      </c>
      <c r="CC26" s="17"/>
      <c r="CD26" s="17"/>
      <c r="CE26" s="17"/>
      <c r="CF26" s="17"/>
      <c r="CG26" s="17"/>
      <c r="CH26" s="17"/>
      <c r="CI26" s="17"/>
      <c r="CJ26" s="17"/>
      <c r="CK26" s="17"/>
      <c r="CL26" s="17"/>
      <c r="CM26" s="17"/>
      <c r="CN26" s="18"/>
      <c r="CO26" s="18"/>
      <c r="CP26" s="18"/>
      <c r="CQ26" s="18"/>
      <c r="CR26" s="18"/>
      <c r="CS26" s="18"/>
      <c r="CT26" s="18"/>
      <c r="CU26" s="18"/>
      <c r="CV26" s="18"/>
      <c r="CW26" s="18"/>
      <c r="CX26" s="18"/>
      <c r="CY26" s="18"/>
    </row>
    <row r="27" spans="1:103" s="19" customFormat="1" x14ac:dyDescent="0.2">
      <c r="A27" s="58">
        <v>23</v>
      </c>
      <c r="B27" s="14" t="s">
        <v>1430</v>
      </c>
      <c r="C27" s="14" t="s">
        <v>79</v>
      </c>
      <c r="D27" s="15" t="s">
        <v>668</v>
      </c>
      <c r="E27" s="15"/>
      <c r="F27" s="15">
        <v>2017</v>
      </c>
      <c r="G27" s="22" t="s">
        <v>669</v>
      </c>
      <c r="H27" s="24" t="s">
        <v>701</v>
      </c>
      <c r="I27" s="17" t="s">
        <v>8</v>
      </c>
      <c r="J27" s="27" t="s">
        <v>36</v>
      </c>
      <c r="K27" s="27" t="s">
        <v>1471</v>
      </c>
      <c r="L27" s="17" t="s">
        <v>31</v>
      </c>
      <c r="M27" s="17" t="s">
        <v>333</v>
      </c>
      <c r="N27" s="17" t="s">
        <v>201</v>
      </c>
      <c r="O27" s="17" t="s">
        <v>404</v>
      </c>
      <c r="P27" s="17" t="s">
        <v>285</v>
      </c>
      <c r="Q27" s="17" t="s">
        <v>313</v>
      </c>
      <c r="R27" s="27" t="s">
        <v>703</v>
      </c>
      <c r="S27" s="17" t="s">
        <v>92</v>
      </c>
      <c r="T27" s="17" t="s">
        <v>405</v>
      </c>
      <c r="U27" s="17" t="s">
        <v>548</v>
      </c>
      <c r="V27" s="57">
        <v>8</v>
      </c>
      <c r="W27" s="57" t="str">
        <f t="shared" si="5"/>
        <v>L</v>
      </c>
      <c r="X27" s="17" t="s">
        <v>702</v>
      </c>
      <c r="Y27" s="17" t="s">
        <v>14</v>
      </c>
      <c r="Z27" s="31" t="s">
        <v>92</v>
      </c>
      <c r="AA27" s="17" t="s">
        <v>474</v>
      </c>
      <c r="AB27" s="17" t="s">
        <v>548</v>
      </c>
      <c r="AC27" s="15">
        <v>10</v>
      </c>
      <c r="AD27" s="15" t="str">
        <f t="shared" si="4"/>
        <v>L</v>
      </c>
      <c r="AE27" s="17" t="s">
        <v>702</v>
      </c>
      <c r="AF27" s="17" t="s">
        <v>14</v>
      </c>
      <c r="AG27" s="17">
        <f>65+65</f>
        <v>130</v>
      </c>
      <c r="AH27" s="17">
        <v>65</v>
      </c>
      <c r="AI27" s="17">
        <v>60</v>
      </c>
      <c r="AJ27" s="17">
        <v>56</v>
      </c>
      <c r="AK27" s="17">
        <f t="shared" si="8"/>
        <v>4</v>
      </c>
      <c r="AL27" s="47">
        <v>57</v>
      </c>
      <c r="AM27" s="17">
        <v>53</v>
      </c>
      <c r="AN27" s="47">
        <v>4</v>
      </c>
      <c r="AO27" s="47">
        <v>17</v>
      </c>
      <c r="AP27" s="17">
        <v>14</v>
      </c>
      <c r="AQ27" s="17">
        <v>3</v>
      </c>
      <c r="AR27" s="17"/>
      <c r="AS27" s="17"/>
      <c r="AT27" s="17">
        <v>19</v>
      </c>
      <c r="AU27" s="17">
        <v>0</v>
      </c>
      <c r="AV27" s="17"/>
      <c r="AW27" s="17"/>
      <c r="AX27" s="17"/>
      <c r="AY27" s="17"/>
      <c r="AZ27" s="17"/>
      <c r="BA27" s="17">
        <v>65</v>
      </c>
      <c r="BB27" s="17">
        <v>56</v>
      </c>
      <c r="BC27" s="17">
        <v>48</v>
      </c>
      <c r="BD27" s="17">
        <v>8</v>
      </c>
      <c r="BE27" s="47">
        <v>50</v>
      </c>
      <c r="BF27" s="17">
        <v>46</v>
      </c>
      <c r="BG27" s="47">
        <v>4</v>
      </c>
      <c r="BH27" s="17">
        <v>16</v>
      </c>
      <c r="BI27" s="17">
        <v>15</v>
      </c>
      <c r="BJ27" s="17">
        <v>1</v>
      </c>
      <c r="BK27" s="17"/>
      <c r="BL27" s="17"/>
      <c r="BM27" s="17">
        <v>21</v>
      </c>
      <c r="BN27" s="17">
        <v>0</v>
      </c>
      <c r="BO27" s="17"/>
      <c r="BP27" s="17"/>
      <c r="BQ27" s="17"/>
      <c r="BR27" s="17"/>
      <c r="BS27" s="17"/>
      <c r="BT27" s="17">
        <f>2+2+3+3+4+9+4+2+2+4+3+14+1</f>
        <v>53</v>
      </c>
      <c r="BU27" s="17">
        <v>6</v>
      </c>
      <c r="BV27" s="17">
        <v>5</v>
      </c>
      <c r="BW27" s="17">
        <v>7</v>
      </c>
      <c r="BX27" s="17"/>
      <c r="BY27" s="17">
        <v>4</v>
      </c>
      <c r="BZ27" s="17">
        <f>15+9</f>
        <v>24</v>
      </c>
      <c r="CA27" s="17">
        <v>0</v>
      </c>
      <c r="CB27" s="17">
        <v>0</v>
      </c>
      <c r="CC27" s="17"/>
      <c r="CD27" s="17"/>
      <c r="CE27" s="17"/>
      <c r="CF27" s="17"/>
      <c r="CG27" s="17"/>
      <c r="CH27" s="17"/>
      <c r="CI27" s="17"/>
      <c r="CJ27" s="17"/>
      <c r="CK27" s="17"/>
      <c r="CL27" s="17"/>
      <c r="CM27" s="17"/>
      <c r="CN27" s="18"/>
      <c r="CO27" s="18"/>
      <c r="CP27" s="18"/>
      <c r="CQ27" s="18"/>
      <c r="CR27" s="18"/>
      <c r="CS27" s="18"/>
      <c r="CT27" s="18"/>
      <c r="CU27" s="18"/>
      <c r="CV27" s="18"/>
      <c r="CW27" s="18"/>
      <c r="CX27" s="18"/>
      <c r="CY27" s="18"/>
    </row>
    <row r="28" spans="1:103" s="19" customFormat="1" ht="15" customHeight="1" x14ac:dyDescent="0.2">
      <c r="A28" s="58">
        <v>24</v>
      </c>
      <c r="B28" s="14" t="s">
        <v>1429</v>
      </c>
      <c r="C28" s="14" t="s">
        <v>79</v>
      </c>
      <c r="D28" s="15" t="s">
        <v>203</v>
      </c>
      <c r="E28" s="15"/>
      <c r="F28" s="15">
        <v>2004</v>
      </c>
      <c r="G28" s="22" t="s">
        <v>364</v>
      </c>
      <c r="H28" s="24" t="s">
        <v>704</v>
      </c>
      <c r="I28" s="17" t="s">
        <v>8</v>
      </c>
      <c r="J28" s="27" t="s">
        <v>366</v>
      </c>
      <c r="K28" s="27" t="s">
        <v>366</v>
      </c>
      <c r="L28" s="17" t="s">
        <v>31</v>
      </c>
      <c r="M28" s="17" t="s">
        <v>333</v>
      </c>
      <c r="N28" s="17" t="s">
        <v>201</v>
      </c>
      <c r="O28" s="17" t="s">
        <v>404</v>
      </c>
      <c r="P28" s="17" t="s">
        <v>285</v>
      </c>
      <c r="Q28" s="17" t="s">
        <v>711</v>
      </c>
      <c r="R28" s="27" t="s">
        <v>363</v>
      </c>
      <c r="S28" s="17" t="s">
        <v>202</v>
      </c>
      <c r="T28" s="17" t="s">
        <v>240</v>
      </c>
      <c r="U28" s="17" t="s">
        <v>369</v>
      </c>
      <c r="V28" s="57">
        <v>7</v>
      </c>
      <c r="W28" s="57" t="str">
        <f t="shared" si="5"/>
        <v>L</v>
      </c>
      <c r="X28" s="17" t="s">
        <v>13</v>
      </c>
      <c r="Y28" s="17" t="s">
        <v>14</v>
      </c>
      <c r="Z28" s="31" t="s">
        <v>531</v>
      </c>
      <c r="AA28" s="17" t="s">
        <v>705</v>
      </c>
      <c r="AB28" s="17" t="s">
        <v>369</v>
      </c>
      <c r="AC28" s="15">
        <v>7</v>
      </c>
      <c r="AD28" s="15" t="str">
        <f t="shared" si="4"/>
        <v>L</v>
      </c>
      <c r="AE28" s="17" t="s">
        <v>131</v>
      </c>
      <c r="AF28" s="17" t="s">
        <v>388</v>
      </c>
      <c r="AG28" s="17">
        <v>462</v>
      </c>
      <c r="AH28" s="17">
        <v>228</v>
      </c>
      <c r="AI28" s="17">
        <v>228</v>
      </c>
      <c r="AJ28" s="17">
        <v>198</v>
      </c>
      <c r="AK28" s="17">
        <f t="shared" si="8"/>
        <v>30</v>
      </c>
      <c r="AL28" s="47">
        <v>211</v>
      </c>
      <c r="AM28" s="17">
        <v>184</v>
      </c>
      <c r="AN28" s="47">
        <f>+AL28-AM28</f>
        <v>27</v>
      </c>
      <c r="AO28" s="47">
        <v>78</v>
      </c>
      <c r="AP28" s="17">
        <v>67</v>
      </c>
      <c r="AQ28" s="17">
        <f>+AO28-AP28</f>
        <v>11</v>
      </c>
      <c r="AR28" s="17"/>
      <c r="AS28" s="17"/>
      <c r="AT28" s="17">
        <f>13+10+10+4+2+3+2</f>
        <v>44</v>
      </c>
      <c r="AU28" s="17">
        <v>17</v>
      </c>
      <c r="AV28" s="17"/>
      <c r="AW28" s="17">
        <v>3</v>
      </c>
      <c r="AX28" s="17"/>
      <c r="AY28" s="17"/>
      <c r="AZ28" s="17"/>
      <c r="BA28" s="17">
        <v>234</v>
      </c>
      <c r="BB28" s="17">
        <v>228</v>
      </c>
      <c r="BC28" s="17">
        <v>186</v>
      </c>
      <c r="BD28" s="17">
        <v>42</v>
      </c>
      <c r="BE28" s="47">
        <v>211</v>
      </c>
      <c r="BF28" s="17">
        <v>166</v>
      </c>
      <c r="BG28" s="47">
        <v>45</v>
      </c>
      <c r="BH28" s="17">
        <v>94</v>
      </c>
      <c r="BI28" s="17">
        <v>78</v>
      </c>
      <c r="BJ28" s="17">
        <f>+BH28-BI28</f>
        <v>16</v>
      </c>
      <c r="BK28" s="17"/>
      <c r="BL28" s="17"/>
      <c r="BM28" s="17">
        <f>16+6+3+5+3+4</f>
        <v>37</v>
      </c>
      <c r="BN28" s="17">
        <v>16</v>
      </c>
      <c r="BO28" s="17"/>
      <c r="BP28" s="17">
        <v>3</v>
      </c>
      <c r="BQ28" s="17"/>
      <c r="BR28" s="17"/>
      <c r="BS28" s="17"/>
      <c r="BT28" s="17"/>
      <c r="BU28" s="17">
        <v>61</v>
      </c>
      <c r="BV28" s="17">
        <v>48</v>
      </c>
      <c r="BW28" s="17">
        <v>6</v>
      </c>
      <c r="BX28" s="17">
        <v>4</v>
      </c>
      <c r="BY28" s="17">
        <f>7+6</f>
        <v>13</v>
      </c>
      <c r="BZ28" s="17"/>
      <c r="CA28" s="17"/>
      <c r="CB28" s="17">
        <v>5</v>
      </c>
      <c r="CC28" s="17"/>
      <c r="CD28" s="17"/>
      <c r="CE28" s="17"/>
      <c r="CF28" s="17"/>
      <c r="CG28" s="17"/>
      <c r="CH28" s="17"/>
      <c r="CI28" s="17"/>
      <c r="CJ28" s="17"/>
      <c r="CK28" s="17"/>
      <c r="CL28" s="17"/>
      <c r="CM28" s="17"/>
      <c r="CN28" s="18"/>
      <c r="CO28" s="18"/>
      <c r="CP28" s="18"/>
      <c r="CQ28" s="18"/>
      <c r="CR28" s="18"/>
      <c r="CS28" s="18"/>
      <c r="CT28" s="18"/>
      <c r="CU28" s="18"/>
      <c r="CV28" s="18"/>
      <c r="CW28" s="18"/>
      <c r="CX28" s="18"/>
      <c r="CY28" s="18"/>
    </row>
    <row r="29" spans="1:103" s="19" customFormat="1" ht="15" customHeight="1" x14ac:dyDescent="0.2">
      <c r="A29" s="58">
        <v>25</v>
      </c>
      <c r="B29" s="14" t="s">
        <v>1429</v>
      </c>
      <c r="C29" s="14" t="s">
        <v>79</v>
      </c>
      <c r="D29" s="15" t="s">
        <v>670</v>
      </c>
      <c r="E29" s="15"/>
      <c r="F29" s="15">
        <v>2018</v>
      </c>
      <c r="G29" s="22" t="s">
        <v>671</v>
      </c>
      <c r="H29" s="24" t="s">
        <v>706</v>
      </c>
      <c r="I29" s="17" t="s">
        <v>8</v>
      </c>
      <c r="J29" s="27" t="s">
        <v>76</v>
      </c>
      <c r="K29" s="27" t="s">
        <v>1471</v>
      </c>
      <c r="L29" s="17" t="s">
        <v>32</v>
      </c>
      <c r="M29" s="15" t="s">
        <v>25</v>
      </c>
      <c r="N29" s="17" t="s">
        <v>201</v>
      </c>
      <c r="O29" s="17" t="s">
        <v>404</v>
      </c>
      <c r="P29" s="17" t="s">
        <v>221</v>
      </c>
      <c r="Q29" s="17" t="s">
        <v>313</v>
      </c>
      <c r="R29" s="27" t="s">
        <v>707</v>
      </c>
      <c r="S29" s="17" t="s">
        <v>1477</v>
      </c>
      <c r="T29" s="17" t="s">
        <v>708</v>
      </c>
      <c r="U29" s="17" t="s">
        <v>709</v>
      </c>
      <c r="V29" s="57">
        <v>7</v>
      </c>
      <c r="W29" s="57" t="str">
        <f t="shared" si="5"/>
        <v>L</v>
      </c>
      <c r="X29" s="17" t="s">
        <v>511</v>
      </c>
      <c r="Y29" s="17" t="s">
        <v>14</v>
      </c>
      <c r="Z29" s="31" t="s">
        <v>152</v>
      </c>
      <c r="AA29" s="17" t="s">
        <v>710</v>
      </c>
      <c r="AB29" s="17" t="s">
        <v>709</v>
      </c>
      <c r="AC29" s="15">
        <v>7</v>
      </c>
      <c r="AD29" s="15" t="str">
        <f t="shared" si="4"/>
        <v>L</v>
      </c>
      <c r="AE29" s="17" t="s">
        <v>511</v>
      </c>
      <c r="AF29" s="17" t="s">
        <v>14</v>
      </c>
      <c r="AG29" s="17">
        <v>93</v>
      </c>
      <c r="AH29" s="17">
        <v>46</v>
      </c>
      <c r="AI29" s="17">
        <v>46</v>
      </c>
      <c r="AJ29" s="17">
        <v>46</v>
      </c>
      <c r="AK29" s="17">
        <f t="shared" si="8"/>
        <v>0</v>
      </c>
      <c r="AL29" s="47">
        <v>46</v>
      </c>
      <c r="AM29" s="17">
        <v>46</v>
      </c>
      <c r="AN29" s="47">
        <v>0</v>
      </c>
      <c r="AO29" s="47">
        <v>36</v>
      </c>
      <c r="AP29" s="17">
        <v>34</v>
      </c>
      <c r="AQ29" s="17">
        <v>2</v>
      </c>
      <c r="AR29" s="17"/>
      <c r="AS29" s="17">
        <v>7</v>
      </c>
      <c r="AT29" s="17"/>
      <c r="AU29" s="17">
        <v>0</v>
      </c>
      <c r="AV29" s="17"/>
      <c r="AW29" s="17">
        <v>0</v>
      </c>
      <c r="AX29" s="17"/>
      <c r="AY29" s="17"/>
      <c r="AZ29" s="17"/>
      <c r="BA29" s="17">
        <v>47</v>
      </c>
      <c r="BB29" s="17">
        <v>47</v>
      </c>
      <c r="BC29" s="17">
        <v>37</v>
      </c>
      <c r="BD29" s="17">
        <v>7</v>
      </c>
      <c r="BE29" s="47">
        <v>27</v>
      </c>
      <c r="BF29" s="17">
        <v>15</v>
      </c>
      <c r="BG29" s="47">
        <v>12</v>
      </c>
      <c r="BH29" s="17">
        <v>27</v>
      </c>
      <c r="BI29" s="17"/>
      <c r="BJ29" s="17"/>
      <c r="BK29" s="17"/>
      <c r="BL29" s="17">
        <v>14</v>
      </c>
      <c r="BM29" s="17"/>
      <c r="BN29" s="17">
        <v>0</v>
      </c>
      <c r="BO29" s="17"/>
      <c r="BP29" s="17">
        <v>0</v>
      </c>
      <c r="BQ29" s="17"/>
      <c r="BR29" s="17"/>
      <c r="BS29" s="17"/>
      <c r="BT29" s="17">
        <f>25+17+11+10</f>
        <v>63</v>
      </c>
      <c r="BU29" s="17">
        <v>20</v>
      </c>
      <c r="BV29" s="17"/>
      <c r="BW29" s="17">
        <v>7</v>
      </c>
      <c r="BX29" s="17">
        <v>9</v>
      </c>
      <c r="BY29" s="17"/>
      <c r="BZ29" s="17"/>
      <c r="CA29" s="17"/>
      <c r="CB29" s="17"/>
      <c r="CC29" s="17"/>
      <c r="CD29" s="17"/>
      <c r="CE29" s="17"/>
      <c r="CF29" s="17"/>
      <c r="CG29" s="17"/>
      <c r="CH29" s="17"/>
      <c r="CI29" s="17"/>
      <c r="CJ29" s="17"/>
      <c r="CK29" s="17"/>
      <c r="CL29" s="17"/>
      <c r="CM29" s="17"/>
      <c r="CN29" s="18"/>
      <c r="CO29" s="18"/>
      <c r="CP29" s="18"/>
      <c r="CQ29" s="18"/>
      <c r="CR29" s="18"/>
      <c r="CS29" s="18"/>
      <c r="CT29" s="18"/>
      <c r="CU29" s="18"/>
      <c r="CV29" s="18"/>
      <c r="CW29" s="18"/>
      <c r="CX29" s="18"/>
      <c r="CY29" s="18"/>
    </row>
    <row r="30" spans="1:103" s="19" customFormat="1" ht="15" customHeight="1" x14ac:dyDescent="0.2">
      <c r="A30" s="58">
        <v>26</v>
      </c>
      <c r="B30" s="14" t="s">
        <v>1429</v>
      </c>
      <c r="C30" s="14" t="s">
        <v>79</v>
      </c>
      <c r="D30" s="15" t="s">
        <v>672</v>
      </c>
      <c r="E30" s="15"/>
      <c r="F30" s="15">
        <v>2012</v>
      </c>
      <c r="G30" s="22" t="s">
        <v>673</v>
      </c>
      <c r="H30" s="24" t="s">
        <v>712</v>
      </c>
      <c r="I30" s="17" t="s">
        <v>8</v>
      </c>
      <c r="J30" s="27"/>
      <c r="K30" s="27"/>
      <c r="L30" s="17" t="s">
        <v>32</v>
      </c>
      <c r="M30" s="15" t="s">
        <v>25</v>
      </c>
      <c r="N30" s="17" t="s">
        <v>201</v>
      </c>
      <c r="O30" s="17" t="s">
        <v>404</v>
      </c>
      <c r="P30" s="17" t="s">
        <v>167</v>
      </c>
      <c r="Q30" s="17" t="s">
        <v>313</v>
      </c>
      <c r="R30" s="27" t="s">
        <v>714</v>
      </c>
      <c r="S30" s="17" t="s">
        <v>713</v>
      </c>
      <c r="T30" s="17" t="s">
        <v>570</v>
      </c>
      <c r="U30" s="17" t="s">
        <v>354</v>
      </c>
      <c r="V30" s="57">
        <v>10</v>
      </c>
      <c r="W30" s="57" t="str">
        <f t="shared" si="5"/>
        <v>L</v>
      </c>
      <c r="X30" s="17" t="s">
        <v>511</v>
      </c>
      <c r="Y30" s="17" t="s">
        <v>679</v>
      </c>
      <c r="Z30" s="31" t="s">
        <v>152</v>
      </c>
      <c r="AA30" s="17" t="s">
        <v>710</v>
      </c>
      <c r="AB30" s="17" t="s">
        <v>354</v>
      </c>
      <c r="AC30" s="15">
        <v>10</v>
      </c>
      <c r="AD30" s="15" t="str">
        <f t="shared" si="4"/>
        <v>L</v>
      </c>
      <c r="AE30" s="17" t="s">
        <v>511</v>
      </c>
      <c r="AF30" s="17" t="s">
        <v>14</v>
      </c>
      <c r="AG30" s="17">
        <v>706</v>
      </c>
      <c r="AH30" s="17">
        <v>322</v>
      </c>
      <c r="AI30" s="17">
        <v>314</v>
      </c>
      <c r="AJ30" s="17">
        <v>240</v>
      </c>
      <c r="AK30" s="17">
        <f t="shared" si="8"/>
        <v>74</v>
      </c>
      <c r="AL30" s="47">
        <v>231</v>
      </c>
      <c r="AM30" s="17">
        <v>200</v>
      </c>
      <c r="AN30" s="47">
        <v>31</v>
      </c>
      <c r="AO30" s="47">
        <v>68</v>
      </c>
      <c r="AP30" s="17">
        <v>60</v>
      </c>
      <c r="AQ30" s="17">
        <v>8</v>
      </c>
      <c r="AR30" s="17"/>
      <c r="AS30" s="17">
        <v>18</v>
      </c>
      <c r="AT30" s="17"/>
      <c r="AU30" s="17"/>
      <c r="AV30" s="17"/>
      <c r="AW30" s="17">
        <v>9</v>
      </c>
      <c r="AX30" s="17"/>
      <c r="AY30" s="17"/>
      <c r="AZ30" s="17"/>
      <c r="BA30" s="17">
        <v>324</v>
      </c>
      <c r="BB30" s="17">
        <v>324</v>
      </c>
      <c r="BC30" s="17">
        <v>257</v>
      </c>
      <c r="BD30" s="17">
        <v>67</v>
      </c>
      <c r="BE30" s="47">
        <v>238</v>
      </c>
      <c r="BF30" s="17">
        <v>208</v>
      </c>
      <c r="BG30" s="47">
        <f>+BE30-BF30</f>
        <v>30</v>
      </c>
      <c r="BH30" s="17">
        <v>76</v>
      </c>
      <c r="BI30" s="17">
        <v>69</v>
      </c>
      <c r="BJ30" s="17">
        <f>+BH30-BI30</f>
        <v>7</v>
      </c>
      <c r="BK30" s="17"/>
      <c r="BL30" s="17">
        <v>12</v>
      </c>
      <c r="BM30" s="17"/>
      <c r="BN30" s="17"/>
      <c r="BO30" s="17"/>
      <c r="BP30" s="17">
        <v>9</v>
      </c>
      <c r="BQ30" s="17"/>
      <c r="BR30" s="17"/>
      <c r="BS30" s="17"/>
      <c r="BT30" s="17">
        <f>28+36+7+6+9+7+7+14+1+8+6+1+5+7+1</f>
        <v>143</v>
      </c>
      <c r="BU30" s="17">
        <f>28+36</f>
        <v>64</v>
      </c>
      <c r="BV30" s="17">
        <f>7+14</f>
        <v>21</v>
      </c>
      <c r="BW30" s="17">
        <f>5+7</f>
        <v>12</v>
      </c>
      <c r="BX30" s="17"/>
      <c r="BY30" s="17">
        <f>7+6</f>
        <v>13</v>
      </c>
      <c r="BZ30" s="17"/>
      <c r="CA30" s="17"/>
      <c r="CB30" s="17"/>
      <c r="CC30" s="17"/>
      <c r="CD30" s="17"/>
      <c r="CE30" s="17"/>
      <c r="CF30" s="17"/>
      <c r="CG30" s="17"/>
      <c r="CH30" s="17"/>
      <c r="CI30" s="17"/>
      <c r="CJ30" s="17"/>
      <c r="CK30" s="17"/>
      <c r="CL30" s="17"/>
      <c r="CM30" s="17"/>
      <c r="CN30" s="18"/>
      <c r="CO30" s="18"/>
      <c r="CP30" s="18"/>
      <c r="CQ30" s="18"/>
      <c r="CR30" s="18"/>
      <c r="CS30" s="18"/>
      <c r="CT30" s="18"/>
      <c r="CU30" s="18"/>
      <c r="CV30" s="18"/>
      <c r="CW30" s="18"/>
      <c r="CX30" s="18"/>
      <c r="CY30" s="18"/>
    </row>
    <row r="31" spans="1:103" s="19" customFormat="1" x14ac:dyDescent="0.2">
      <c r="A31" s="58">
        <v>27</v>
      </c>
      <c r="B31" s="14" t="s">
        <v>1429</v>
      </c>
      <c r="C31" s="14" t="s">
        <v>79</v>
      </c>
      <c r="D31" s="15" t="s">
        <v>48</v>
      </c>
      <c r="E31" s="15" t="s">
        <v>384</v>
      </c>
      <c r="F31" s="15">
        <v>2008</v>
      </c>
      <c r="G31" s="22" t="s">
        <v>378</v>
      </c>
      <c r="H31" s="24" t="s">
        <v>460</v>
      </c>
      <c r="I31" s="17" t="s">
        <v>8</v>
      </c>
      <c r="J31" s="27" t="s">
        <v>49</v>
      </c>
      <c r="K31" s="27" t="s">
        <v>366</v>
      </c>
      <c r="L31" s="17" t="s">
        <v>31</v>
      </c>
      <c r="M31" s="17" t="s">
        <v>11</v>
      </c>
      <c r="N31" s="17" t="s">
        <v>201</v>
      </c>
      <c r="O31" s="17" t="s">
        <v>459</v>
      </c>
      <c r="P31" s="17" t="s">
        <v>285</v>
      </c>
      <c r="Q31" s="17" t="s">
        <v>313</v>
      </c>
      <c r="R31" s="27" t="s">
        <v>379</v>
      </c>
      <c r="S31" s="17" t="s">
        <v>50</v>
      </c>
      <c r="T31" s="17" t="s">
        <v>51</v>
      </c>
      <c r="U31" s="17">
        <v>3</v>
      </c>
      <c r="V31" s="57">
        <f t="shared" si="1"/>
        <v>3</v>
      </c>
      <c r="W31" s="57" t="str">
        <f t="shared" si="5"/>
        <v>S</v>
      </c>
      <c r="X31" s="17" t="s">
        <v>16</v>
      </c>
      <c r="Y31" s="17" t="s">
        <v>14</v>
      </c>
      <c r="Z31" s="31" t="s">
        <v>531</v>
      </c>
      <c r="AA31" s="17" t="s">
        <v>715</v>
      </c>
      <c r="AB31" s="17">
        <v>7</v>
      </c>
      <c r="AC31" s="15">
        <f t="shared" si="3"/>
        <v>7</v>
      </c>
      <c r="AD31" s="15" t="str">
        <f t="shared" si="4"/>
        <v>L</v>
      </c>
      <c r="AE31" s="17" t="s">
        <v>131</v>
      </c>
      <c r="AF31" s="17" t="s">
        <v>388</v>
      </c>
      <c r="AG31" s="17">
        <f>136+131</f>
        <v>267</v>
      </c>
      <c r="AH31" s="17">
        <v>136</v>
      </c>
      <c r="AI31" s="17">
        <v>136</v>
      </c>
      <c r="AJ31" s="17">
        <v>126</v>
      </c>
      <c r="AK31" s="17">
        <f t="shared" si="8"/>
        <v>10</v>
      </c>
      <c r="AL31" s="47">
        <v>136</v>
      </c>
      <c r="AM31" s="17">
        <v>126</v>
      </c>
      <c r="AN31" s="47">
        <f>+AL31-AM31</f>
        <v>10</v>
      </c>
      <c r="AO31" s="47">
        <v>35</v>
      </c>
      <c r="AP31" s="17">
        <v>32</v>
      </c>
      <c r="AQ31" s="17">
        <v>3</v>
      </c>
      <c r="AR31" s="17">
        <v>0</v>
      </c>
      <c r="AS31" s="17">
        <v>34</v>
      </c>
      <c r="AT31" s="17">
        <v>23</v>
      </c>
      <c r="AU31" s="17">
        <v>3</v>
      </c>
      <c r="AV31" s="17"/>
      <c r="AW31" s="17">
        <v>0</v>
      </c>
      <c r="AX31" s="17"/>
      <c r="AY31" s="17"/>
      <c r="AZ31" s="17"/>
      <c r="BA31" s="17">
        <v>131</v>
      </c>
      <c r="BB31" s="17">
        <v>131</v>
      </c>
      <c r="BC31" s="17">
        <v>122</v>
      </c>
      <c r="BD31" s="17">
        <v>9</v>
      </c>
      <c r="BE31" s="47">
        <v>131</v>
      </c>
      <c r="BF31" s="17">
        <v>122</v>
      </c>
      <c r="BG31" s="47">
        <v>9</v>
      </c>
      <c r="BH31" s="17">
        <v>33</v>
      </c>
      <c r="BI31" s="17">
        <v>30</v>
      </c>
      <c r="BJ31" s="17">
        <v>3</v>
      </c>
      <c r="BK31" s="17">
        <v>0</v>
      </c>
      <c r="BL31" s="17">
        <v>22</v>
      </c>
      <c r="BM31" s="17">
        <v>12</v>
      </c>
      <c r="BN31" s="17">
        <v>3</v>
      </c>
      <c r="BO31" s="17"/>
      <c r="BP31" s="17">
        <v>0</v>
      </c>
      <c r="BQ31" s="17"/>
      <c r="BR31" s="17"/>
      <c r="BS31" s="17"/>
      <c r="BT31" s="17">
        <f>41+34+30+38</f>
        <v>143</v>
      </c>
      <c r="BU31" s="17">
        <v>4</v>
      </c>
      <c r="BV31" s="17">
        <v>16</v>
      </c>
      <c r="BW31" s="17"/>
      <c r="BX31" s="17"/>
      <c r="BY31" s="17">
        <f>8+7</f>
        <v>15</v>
      </c>
      <c r="BZ31" s="17">
        <v>68</v>
      </c>
      <c r="CA31" s="17"/>
      <c r="CB31" s="17"/>
      <c r="CC31" s="17"/>
      <c r="CD31" s="17"/>
      <c r="CE31" s="17"/>
      <c r="CF31" s="17"/>
      <c r="CG31" s="17"/>
      <c r="CH31" s="17"/>
      <c r="CI31" s="17"/>
      <c r="CJ31" s="17"/>
      <c r="CK31" s="17"/>
      <c r="CL31" s="17"/>
      <c r="CM31" s="17"/>
      <c r="CN31" s="18"/>
      <c r="CO31" s="18"/>
      <c r="CP31" s="18"/>
      <c r="CQ31" s="18"/>
      <c r="CR31" s="18"/>
      <c r="CS31" s="18"/>
      <c r="CT31" s="18"/>
      <c r="CU31" s="18"/>
      <c r="CV31" s="18"/>
      <c r="CW31" s="18"/>
      <c r="CX31" s="18"/>
      <c r="CY31" s="18"/>
    </row>
    <row r="32" spans="1:103" s="19" customFormat="1" x14ac:dyDescent="0.2">
      <c r="A32" s="58">
        <v>28</v>
      </c>
      <c r="B32" s="14" t="s">
        <v>1429</v>
      </c>
      <c r="C32" s="14" t="s">
        <v>79</v>
      </c>
      <c r="D32" s="15" t="s">
        <v>674</v>
      </c>
      <c r="E32" s="15"/>
      <c r="F32" s="15">
        <v>2008</v>
      </c>
      <c r="G32" s="22" t="s">
        <v>675</v>
      </c>
      <c r="H32" s="24" t="s">
        <v>716</v>
      </c>
      <c r="I32" s="17" t="s">
        <v>8</v>
      </c>
      <c r="J32" s="27" t="s">
        <v>38</v>
      </c>
      <c r="K32" s="27" t="s">
        <v>1473</v>
      </c>
      <c r="L32" s="17" t="s">
        <v>32</v>
      </c>
      <c r="M32" s="15" t="s">
        <v>25</v>
      </c>
      <c r="N32" s="17" t="s">
        <v>201</v>
      </c>
      <c r="O32" s="17" t="s">
        <v>404</v>
      </c>
      <c r="P32" s="17" t="s">
        <v>285</v>
      </c>
      <c r="Q32" s="17" t="s">
        <v>313</v>
      </c>
      <c r="R32" s="27" t="s">
        <v>721</v>
      </c>
      <c r="S32" s="17" t="s">
        <v>717</v>
      </c>
      <c r="T32" s="17" t="s">
        <v>718</v>
      </c>
      <c r="U32" s="17" t="s">
        <v>720</v>
      </c>
      <c r="V32" s="57">
        <v>10</v>
      </c>
      <c r="W32" s="57" t="str">
        <f t="shared" si="5"/>
        <v>L</v>
      </c>
      <c r="X32" s="17" t="s">
        <v>719</v>
      </c>
      <c r="Y32" s="17" t="s">
        <v>679</v>
      </c>
      <c r="Z32" s="31" t="s">
        <v>152</v>
      </c>
      <c r="AA32" s="17" t="s">
        <v>710</v>
      </c>
      <c r="AB32" s="17" t="s">
        <v>720</v>
      </c>
      <c r="AC32" s="15">
        <v>10</v>
      </c>
      <c r="AD32" s="15" t="str">
        <f t="shared" si="4"/>
        <v>L</v>
      </c>
      <c r="AE32" s="17" t="s">
        <v>511</v>
      </c>
      <c r="AF32" s="17" t="s">
        <v>14</v>
      </c>
      <c r="AG32" s="17">
        <f>467+469</f>
        <v>936</v>
      </c>
      <c r="AH32" s="17">
        <v>467</v>
      </c>
      <c r="AI32" s="17">
        <v>413</v>
      </c>
      <c r="AJ32" s="17">
        <v>293</v>
      </c>
      <c r="AK32" s="17">
        <f t="shared" si="8"/>
        <v>120</v>
      </c>
      <c r="AL32" s="47">
        <v>369</v>
      </c>
      <c r="AM32" s="17">
        <v>293</v>
      </c>
      <c r="AN32" s="47">
        <f>+AL32-AM32</f>
        <v>76</v>
      </c>
      <c r="AO32" s="47">
        <f>101+26</f>
        <v>127</v>
      </c>
      <c r="AP32" s="17">
        <f>82+18</f>
        <v>100</v>
      </c>
      <c r="AQ32" s="17">
        <f>+AO32-AP32</f>
        <v>27</v>
      </c>
      <c r="AR32" s="17"/>
      <c r="AS32" s="17">
        <f>15+19+17+15+15+12+9+7+21+13+5+3+20</f>
        <v>171</v>
      </c>
      <c r="AT32" s="17"/>
      <c r="AU32" s="17">
        <v>62</v>
      </c>
      <c r="AV32" s="17"/>
      <c r="AW32" s="17">
        <v>21</v>
      </c>
      <c r="AX32" s="17"/>
      <c r="AY32" s="17"/>
      <c r="AZ32" s="17"/>
      <c r="BA32" s="17">
        <v>469</v>
      </c>
      <c r="BB32" s="17">
        <v>421</v>
      </c>
      <c r="BC32" s="17">
        <v>326</v>
      </c>
      <c r="BD32" s="17">
        <v>95</v>
      </c>
      <c r="BE32" s="47">
        <v>371</v>
      </c>
      <c r="BF32" s="17">
        <v>326</v>
      </c>
      <c r="BG32" s="47">
        <f>+BE32-BF32</f>
        <v>45</v>
      </c>
      <c r="BH32" s="17">
        <f>84+21</f>
        <v>105</v>
      </c>
      <c r="BI32" s="17">
        <f>78+19</f>
        <v>97</v>
      </c>
      <c r="BJ32" s="17">
        <f>+BH32-BI32</f>
        <v>8</v>
      </c>
      <c r="BK32" s="17"/>
      <c r="BL32" s="17">
        <f>35+27+24+15+11+12+15+15+10+9+6+10+10+3+2</f>
        <v>204</v>
      </c>
      <c r="BM32" s="17"/>
      <c r="BN32" s="17">
        <v>38</v>
      </c>
      <c r="BO32" s="17"/>
      <c r="BP32" s="17">
        <v>12</v>
      </c>
      <c r="BQ32" s="17"/>
      <c r="BR32" s="17"/>
      <c r="BS32" s="17"/>
      <c r="BT32" s="17">
        <f>106+31+95+30</f>
        <v>262</v>
      </c>
      <c r="BU32" s="17">
        <f>106+95</f>
        <v>201</v>
      </c>
      <c r="BV32" s="17"/>
      <c r="BW32" s="17"/>
      <c r="BX32" s="17"/>
      <c r="BY32" s="17">
        <f>31+30</f>
        <v>61</v>
      </c>
      <c r="BZ32" s="17"/>
      <c r="CA32" s="17"/>
      <c r="CB32" s="17"/>
      <c r="CC32" s="17"/>
      <c r="CD32" s="17"/>
      <c r="CE32" s="17"/>
      <c r="CF32" s="17"/>
      <c r="CG32" s="17"/>
      <c r="CH32" s="17"/>
      <c r="CI32" s="17"/>
      <c r="CJ32" s="17"/>
      <c r="CK32" s="17"/>
      <c r="CL32" s="17"/>
      <c r="CM32" s="17"/>
      <c r="CN32" s="18"/>
      <c r="CO32" s="18"/>
      <c r="CP32" s="18"/>
      <c r="CQ32" s="18"/>
      <c r="CR32" s="18"/>
      <c r="CS32" s="18"/>
      <c r="CT32" s="18"/>
      <c r="CU32" s="18"/>
      <c r="CV32" s="18"/>
      <c r="CW32" s="18"/>
      <c r="CX32" s="18"/>
      <c r="CY32" s="18"/>
    </row>
    <row r="33" spans="1:103" s="19" customFormat="1" x14ac:dyDescent="0.2">
      <c r="A33" s="58">
        <v>29</v>
      </c>
      <c r="B33" s="14" t="s">
        <v>1429</v>
      </c>
      <c r="C33" s="14" t="s">
        <v>79</v>
      </c>
      <c r="D33" s="15" t="s">
        <v>475</v>
      </c>
      <c r="E33" s="15" t="s">
        <v>384</v>
      </c>
      <c r="F33" s="15">
        <v>2006</v>
      </c>
      <c r="G33" s="22" t="s">
        <v>476</v>
      </c>
      <c r="H33" s="24" t="s">
        <v>722</v>
      </c>
      <c r="I33" s="17" t="s">
        <v>8</v>
      </c>
      <c r="J33" s="27" t="s">
        <v>35</v>
      </c>
      <c r="K33" s="27" t="s">
        <v>1472</v>
      </c>
      <c r="L33" s="17" t="s">
        <v>32</v>
      </c>
      <c r="M33" s="15" t="s">
        <v>25</v>
      </c>
      <c r="N33" s="17" t="s">
        <v>201</v>
      </c>
      <c r="O33" s="17" t="s">
        <v>404</v>
      </c>
      <c r="P33" s="17" t="s">
        <v>221</v>
      </c>
      <c r="Q33" s="17" t="s">
        <v>313</v>
      </c>
      <c r="R33" s="27" t="s">
        <v>477</v>
      </c>
      <c r="S33" s="17" t="s">
        <v>33</v>
      </c>
      <c r="T33" s="17" t="s">
        <v>474</v>
      </c>
      <c r="U33" s="17">
        <v>5</v>
      </c>
      <c r="V33" s="57">
        <f t="shared" si="1"/>
        <v>5</v>
      </c>
      <c r="W33" s="57" t="str">
        <f t="shared" si="5"/>
        <v>S</v>
      </c>
      <c r="X33" s="17" t="s">
        <v>13</v>
      </c>
      <c r="Y33" s="17" t="s">
        <v>14</v>
      </c>
      <c r="Z33" s="31" t="s">
        <v>33</v>
      </c>
      <c r="AA33" s="17" t="s">
        <v>405</v>
      </c>
      <c r="AB33" s="17">
        <v>10</v>
      </c>
      <c r="AC33" s="15">
        <f t="shared" si="3"/>
        <v>10</v>
      </c>
      <c r="AD33" s="15" t="str">
        <f t="shared" si="4"/>
        <v>L</v>
      </c>
      <c r="AE33" s="17" t="s">
        <v>13</v>
      </c>
      <c r="AF33" s="17" t="s">
        <v>14</v>
      </c>
      <c r="AG33" s="17">
        <f>256+272</f>
        <v>528</v>
      </c>
      <c r="AH33" s="17">
        <v>256</v>
      </c>
      <c r="AI33" s="17">
        <v>101</v>
      </c>
      <c r="AJ33" s="17"/>
      <c r="AK33" s="17"/>
      <c r="AL33" s="47">
        <v>76</v>
      </c>
      <c r="AM33" s="17">
        <v>69</v>
      </c>
      <c r="AN33" s="47">
        <f>+AL33-AM33</f>
        <v>7</v>
      </c>
      <c r="AO33" s="47">
        <v>36</v>
      </c>
      <c r="AP33" s="17">
        <v>32</v>
      </c>
      <c r="AQ33" s="17">
        <v>4</v>
      </c>
      <c r="AR33" s="17"/>
      <c r="AS33" s="17">
        <v>63</v>
      </c>
      <c r="AT33" s="17">
        <v>20</v>
      </c>
      <c r="AU33" s="17">
        <v>13</v>
      </c>
      <c r="AV33" s="17"/>
      <c r="AW33" s="17">
        <v>3</v>
      </c>
      <c r="AX33" s="17"/>
      <c r="AY33" s="17"/>
      <c r="AZ33" s="17"/>
      <c r="BA33" s="17">
        <v>272</v>
      </c>
      <c r="BB33" s="17">
        <v>118</v>
      </c>
      <c r="BC33" s="17"/>
      <c r="BD33" s="17"/>
      <c r="BE33" s="47">
        <v>83</v>
      </c>
      <c r="BF33" s="17">
        <v>71</v>
      </c>
      <c r="BG33" s="47">
        <f>+BE33-BF33</f>
        <v>12</v>
      </c>
      <c r="BH33" s="17">
        <v>32</v>
      </c>
      <c r="BI33" s="17">
        <v>28</v>
      </c>
      <c r="BJ33" s="17">
        <v>4</v>
      </c>
      <c r="BK33" s="17"/>
      <c r="BL33" s="17">
        <v>80</v>
      </c>
      <c r="BM33" s="17">
        <v>23</v>
      </c>
      <c r="BN33" s="17">
        <v>22</v>
      </c>
      <c r="BO33" s="17"/>
      <c r="BP33" s="17">
        <v>6</v>
      </c>
      <c r="BQ33" s="17"/>
      <c r="BR33" s="17"/>
      <c r="BS33" s="17"/>
      <c r="BT33" s="17">
        <f>7+18+10+20+17</f>
        <v>72</v>
      </c>
      <c r="BU33" s="17">
        <f>8+7</f>
        <v>15</v>
      </c>
      <c r="BV33" s="17">
        <f>7+5</f>
        <v>12</v>
      </c>
      <c r="BW33" s="17"/>
      <c r="BX33" s="17"/>
      <c r="BY33" s="17"/>
      <c r="BZ33" s="17">
        <f>20+6+11</f>
        <v>37</v>
      </c>
      <c r="CA33" s="17"/>
      <c r="CB33" s="17"/>
      <c r="CC33" s="17"/>
      <c r="CD33" s="17"/>
      <c r="CE33" s="17"/>
      <c r="CF33" s="17"/>
      <c r="CG33" s="17"/>
      <c r="CH33" s="17"/>
      <c r="CI33" s="17"/>
      <c r="CJ33" s="17"/>
      <c r="CK33" s="17"/>
      <c r="CL33" s="17"/>
      <c r="CM33" s="17"/>
      <c r="CN33" s="18"/>
      <c r="CO33" s="18"/>
      <c r="CP33" s="18"/>
      <c r="CQ33" s="18"/>
      <c r="CR33" s="18"/>
      <c r="CS33" s="18"/>
      <c r="CT33" s="18"/>
      <c r="CU33" s="18"/>
      <c r="CV33" s="18"/>
      <c r="CW33" s="18"/>
      <c r="CX33" s="18"/>
      <c r="CY33" s="18"/>
    </row>
    <row r="34" spans="1:103" s="19" customFormat="1" x14ac:dyDescent="0.2">
      <c r="A34" s="58">
        <v>30</v>
      </c>
      <c r="B34" s="14" t="s">
        <v>1429</v>
      </c>
      <c r="C34" s="14" t="s">
        <v>79</v>
      </c>
      <c r="D34" s="15" t="s">
        <v>174</v>
      </c>
      <c r="E34" s="15"/>
      <c r="F34" s="15">
        <v>2009</v>
      </c>
      <c r="G34" s="22" t="s">
        <v>175</v>
      </c>
      <c r="H34" s="24" t="s">
        <v>723</v>
      </c>
      <c r="I34" s="17" t="s">
        <v>8</v>
      </c>
      <c r="J34" s="27" t="s">
        <v>725</v>
      </c>
      <c r="K34" s="27" t="s">
        <v>1473</v>
      </c>
      <c r="L34" s="17" t="s">
        <v>32</v>
      </c>
      <c r="M34" s="15" t="s">
        <v>25</v>
      </c>
      <c r="N34" s="17" t="s">
        <v>201</v>
      </c>
      <c r="O34" s="17" t="s">
        <v>404</v>
      </c>
      <c r="P34" s="17" t="s">
        <v>167</v>
      </c>
      <c r="Q34" s="17" t="s">
        <v>313</v>
      </c>
      <c r="R34" s="27" t="s">
        <v>724</v>
      </c>
      <c r="S34" s="17" t="s">
        <v>149</v>
      </c>
      <c r="T34" s="17" t="s">
        <v>726</v>
      </c>
      <c r="U34" s="17" t="s">
        <v>354</v>
      </c>
      <c r="V34" s="57">
        <v>10</v>
      </c>
      <c r="W34" s="57" t="str">
        <f t="shared" si="5"/>
        <v>L</v>
      </c>
      <c r="X34" s="17" t="s">
        <v>680</v>
      </c>
      <c r="Y34" s="17" t="s">
        <v>679</v>
      </c>
      <c r="Z34" s="31" t="s">
        <v>33</v>
      </c>
      <c r="AA34" s="17" t="s">
        <v>34</v>
      </c>
      <c r="AB34" s="17" t="s">
        <v>354</v>
      </c>
      <c r="AC34" s="15">
        <v>10</v>
      </c>
      <c r="AD34" s="15" t="str">
        <f t="shared" si="4"/>
        <v>L</v>
      </c>
      <c r="AE34" s="17" t="s">
        <v>13</v>
      </c>
      <c r="AF34" s="17" t="s">
        <v>14</v>
      </c>
      <c r="AG34" s="17">
        <v>449</v>
      </c>
      <c r="AH34" s="17"/>
      <c r="AI34" s="17">
        <v>220</v>
      </c>
      <c r="AJ34" s="17"/>
      <c r="AK34" s="17"/>
      <c r="AL34" s="47">
        <v>144</v>
      </c>
      <c r="AM34" s="17">
        <v>128</v>
      </c>
      <c r="AN34" s="47">
        <f>+AL34-AM34</f>
        <v>16</v>
      </c>
      <c r="AO34" s="47">
        <v>112</v>
      </c>
      <c r="AP34" s="17">
        <f>46+8+5+4+7+5+24+3</f>
        <v>102</v>
      </c>
      <c r="AQ34" s="17">
        <f>+AO34-AP34</f>
        <v>10</v>
      </c>
      <c r="AR34" s="17"/>
      <c r="AS34" s="17">
        <v>135</v>
      </c>
      <c r="AT34" s="17">
        <v>96</v>
      </c>
      <c r="AU34" s="17"/>
      <c r="AV34" s="17"/>
      <c r="AW34" s="17">
        <v>7</v>
      </c>
      <c r="AX34" s="17"/>
      <c r="AY34" s="17"/>
      <c r="AZ34" s="17"/>
      <c r="BA34" s="17"/>
      <c r="BB34" s="17">
        <v>214</v>
      </c>
      <c r="BC34" s="17"/>
      <c r="BD34" s="17"/>
      <c r="BE34" s="47">
        <v>136</v>
      </c>
      <c r="BF34" s="17">
        <v>116</v>
      </c>
      <c r="BG34" s="47">
        <f>+BE34-BF34</f>
        <v>20</v>
      </c>
      <c r="BH34" s="17">
        <f>36+7+9+7+6+11+24+5</f>
        <v>105</v>
      </c>
      <c r="BI34" s="17">
        <f>32+6+9+7+6+11+22+5</f>
        <v>98</v>
      </c>
      <c r="BJ34" s="17">
        <f>+BH34-BI34</f>
        <v>7</v>
      </c>
      <c r="BK34" s="17"/>
      <c r="BL34" s="17">
        <v>100</v>
      </c>
      <c r="BM34" s="17">
        <v>62</v>
      </c>
      <c r="BN34" s="17"/>
      <c r="BO34" s="17"/>
      <c r="BP34" s="17">
        <v>5</v>
      </c>
      <c r="BQ34" s="17"/>
      <c r="BR34" s="17"/>
      <c r="BS34" s="17"/>
      <c r="BT34" s="17">
        <f>105+112</f>
        <v>217</v>
      </c>
      <c r="BU34" s="17">
        <f>50+36</f>
        <v>86</v>
      </c>
      <c r="BV34" s="17">
        <v>18</v>
      </c>
      <c r="BW34" s="17">
        <v>11</v>
      </c>
      <c r="BX34" s="17"/>
      <c r="BY34" s="17">
        <f>9+6</f>
        <v>15</v>
      </c>
      <c r="BZ34" s="17">
        <f>25+3+24+5</f>
        <v>57</v>
      </c>
      <c r="CA34" s="17"/>
      <c r="CB34" s="17"/>
      <c r="CC34" s="27" t="s">
        <v>727</v>
      </c>
      <c r="CD34" s="17"/>
      <c r="CE34" s="17"/>
      <c r="CF34" s="17"/>
      <c r="CG34" s="17"/>
      <c r="CH34" s="17"/>
      <c r="CI34" s="17"/>
      <c r="CJ34" s="17"/>
      <c r="CK34" s="17"/>
      <c r="CL34" s="17"/>
      <c r="CM34" s="17"/>
      <c r="CN34" s="18"/>
      <c r="CO34" s="18"/>
      <c r="CP34" s="18"/>
      <c r="CQ34" s="18"/>
      <c r="CR34" s="18"/>
      <c r="CS34" s="18"/>
      <c r="CT34" s="18"/>
      <c r="CU34" s="18"/>
      <c r="CV34" s="18"/>
      <c r="CW34" s="18"/>
      <c r="CX34" s="18"/>
      <c r="CY34" s="18"/>
    </row>
    <row r="35" spans="1:103" s="19" customFormat="1" ht="14" customHeight="1" x14ac:dyDescent="0.2">
      <c r="A35" s="58">
        <v>31</v>
      </c>
      <c r="B35" s="14" t="s">
        <v>1429</v>
      </c>
      <c r="C35" s="14" t="s">
        <v>79</v>
      </c>
      <c r="D35" s="15" t="s">
        <v>90</v>
      </c>
      <c r="E35" s="15"/>
      <c r="F35" s="15">
        <v>2010</v>
      </c>
      <c r="G35" s="22" t="s">
        <v>91</v>
      </c>
      <c r="H35" s="24" t="s">
        <v>728</v>
      </c>
      <c r="I35" s="17" t="s">
        <v>8</v>
      </c>
      <c r="J35" s="27" t="s">
        <v>162</v>
      </c>
      <c r="K35" s="27" t="s">
        <v>1471</v>
      </c>
      <c r="L35" s="17" t="s">
        <v>31</v>
      </c>
      <c r="M35" s="17" t="s">
        <v>11</v>
      </c>
      <c r="N35" s="17" t="s">
        <v>201</v>
      </c>
      <c r="O35" s="17" t="s">
        <v>404</v>
      </c>
      <c r="P35" s="17" t="s">
        <v>285</v>
      </c>
      <c r="Q35" s="17" t="s">
        <v>313</v>
      </c>
      <c r="R35" s="48" t="s">
        <v>729</v>
      </c>
      <c r="S35" s="17" t="s">
        <v>92</v>
      </c>
      <c r="T35" s="17" t="s">
        <v>405</v>
      </c>
      <c r="U35" s="17">
        <v>7</v>
      </c>
      <c r="V35" s="57">
        <f t="shared" si="1"/>
        <v>7</v>
      </c>
      <c r="W35" s="57" t="str">
        <f t="shared" si="5"/>
        <v>L</v>
      </c>
      <c r="X35" s="17" t="s">
        <v>702</v>
      </c>
      <c r="Y35" s="17" t="s">
        <v>14</v>
      </c>
      <c r="Z35" s="31" t="s">
        <v>33</v>
      </c>
      <c r="AA35" s="17" t="s">
        <v>34</v>
      </c>
      <c r="AB35" s="17">
        <v>7</v>
      </c>
      <c r="AC35" s="15">
        <f t="shared" si="3"/>
        <v>7</v>
      </c>
      <c r="AD35" s="15" t="str">
        <f t="shared" si="4"/>
        <v>L</v>
      </c>
      <c r="AE35" s="27" t="s">
        <v>13</v>
      </c>
      <c r="AF35" s="17" t="s">
        <v>14</v>
      </c>
      <c r="AG35" s="17">
        <v>265</v>
      </c>
      <c r="AH35" s="17">
        <v>89</v>
      </c>
      <c r="AI35" s="17">
        <v>89</v>
      </c>
      <c r="AJ35" s="17">
        <v>67</v>
      </c>
      <c r="AK35" s="17">
        <f>+AI35-AJ35</f>
        <v>22</v>
      </c>
      <c r="AL35" s="47">
        <v>73</v>
      </c>
      <c r="AM35" s="17">
        <v>64</v>
      </c>
      <c r="AN35" s="47">
        <f>+AL35-AM35</f>
        <v>9</v>
      </c>
      <c r="AO35" s="47">
        <v>44</v>
      </c>
      <c r="AP35" s="17">
        <v>37</v>
      </c>
      <c r="AQ35" s="17">
        <v>7</v>
      </c>
      <c r="AR35" s="17"/>
      <c r="AS35" s="17">
        <v>40</v>
      </c>
      <c r="AT35" s="17">
        <v>27</v>
      </c>
      <c r="AU35" s="17">
        <v>5</v>
      </c>
      <c r="AV35" s="17"/>
      <c r="AW35" s="17">
        <v>1</v>
      </c>
      <c r="AX35" s="17"/>
      <c r="AY35" s="17"/>
      <c r="AZ35" s="17"/>
      <c r="BA35" s="17">
        <v>90</v>
      </c>
      <c r="BB35" s="17">
        <v>90</v>
      </c>
      <c r="BC35" s="17">
        <v>72</v>
      </c>
      <c r="BD35" s="17">
        <v>18</v>
      </c>
      <c r="BE35" s="47">
        <v>72</v>
      </c>
      <c r="BF35" s="17">
        <v>65</v>
      </c>
      <c r="BG35" s="47">
        <f>+BE35-BF35</f>
        <v>7</v>
      </c>
      <c r="BH35" s="17">
        <v>47</v>
      </c>
      <c r="BI35" s="17">
        <v>44</v>
      </c>
      <c r="BJ35" s="17">
        <v>3</v>
      </c>
      <c r="BK35" s="17"/>
      <c r="BL35" s="17">
        <v>44</v>
      </c>
      <c r="BM35" s="17">
        <v>27</v>
      </c>
      <c r="BN35" s="17">
        <v>1</v>
      </c>
      <c r="BO35" s="17"/>
      <c r="BP35" s="17">
        <v>0</v>
      </c>
      <c r="BQ35" s="17"/>
      <c r="BR35" s="17"/>
      <c r="BS35" s="17"/>
      <c r="BT35" s="17">
        <f>4+4+2+31+8+2+7+5+1+33+7+3</f>
        <v>107</v>
      </c>
      <c r="BU35" s="17">
        <f>4+5</f>
        <v>9</v>
      </c>
      <c r="BV35" s="17">
        <v>9</v>
      </c>
      <c r="BW35" s="17"/>
      <c r="BX35" s="17"/>
      <c r="BY35" s="17">
        <v>3</v>
      </c>
      <c r="BZ35" s="17">
        <f>31+8+2+33+7+3</f>
        <v>84</v>
      </c>
      <c r="CA35" s="17"/>
      <c r="CB35" s="17"/>
      <c r="CC35" s="17"/>
      <c r="CD35" s="17"/>
      <c r="CE35" s="17"/>
      <c r="CF35" s="17"/>
      <c r="CG35" s="17"/>
      <c r="CH35" s="17"/>
      <c r="CI35" s="17"/>
      <c r="CJ35" s="17"/>
      <c r="CK35" s="17"/>
      <c r="CL35" s="17"/>
      <c r="CM35" s="17"/>
      <c r="CN35" s="18"/>
      <c r="CO35" s="18"/>
      <c r="CP35" s="18"/>
      <c r="CQ35" s="18"/>
      <c r="CR35" s="18"/>
      <c r="CS35" s="18"/>
      <c r="CT35" s="18"/>
      <c r="CU35" s="18"/>
      <c r="CV35" s="18"/>
      <c r="CW35" s="18"/>
      <c r="CX35" s="18"/>
      <c r="CY35" s="18"/>
    </row>
    <row r="36" spans="1:103" s="19" customFormat="1" ht="14" customHeight="1" x14ac:dyDescent="0.2">
      <c r="A36" s="58">
        <v>31</v>
      </c>
      <c r="B36" s="14" t="s">
        <v>1430</v>
      </c>
      <c r="C36" s="14" t="s">
        <v>79</v>
      </c>
      <c r="D36" s="15" t="s">
        <v>90</v>
      </c>
      <c r="E36" s="15"/>
      <c r="F36" s="15">
        <v>2010</v>
      </c>
      <c r="G36" s="22" t="s">
        <v>91</v>
      </c>
      <c r="H36" s="24" t="s">
        <v>728</v>
      </c>
      <c r="I36" s="17" t="s">
        <v>8</v>
      </c>
      <c r="J36" s="27" t="s">
        <v>162</v>
      </c>
      <c r="K36" s="27" t="s">
        <v>1471</v>
      </c>
      <c r="L36" s="17" t="s">
        <v>31</v>
      </c>
      <c r="M36" s="17" t="s">
        <v>11</v>
      </c>
      <c r="N36" s="17" t="s">
        <v>201</v>
      </c>
      <c r="O36" s="17" t="s">
        <v>404</v>
      </c>
      <c r="P36" s="17" t="s">
        <v>285</v>
      </c>
      <c r="Q36" s="17" t="s">
        <v>313</v>
      </c>
      <c r="R36" s="48" t="s">
        <v>729</v>
      </c>
      <c r="S36" s="17" t="s">
        <v>92</v>
      </c>
      <c r="T36" s="17" t="s">
        <v>474</v>
      </c>
      <c r="U36" s="17">
        <v>7</v>
      </c>
      <c r="V36" s="57">
        <f t="shared" si="1"/>
        <v>7</v>
      </c>
      <c r="W36" s="57" t="str">
        <f t="shared" si="5"/>
        <v>L</v>
      </c>
      <c r="X36" s="17" t="s">
        <v>702</v>
      </c>
      <c r="Y36" s="17" t="s">
        <v>14</v>
      </c>
      <c r="Z36" s="31" t="s">
        <v>33</v>
      </c>
      <c r="AA36" s="17" t="s">
        <v>34</v>
      </c>
      <c r="AB36" s="17">
        <v>7</v>
      </c>
      <c r="AC36" s="15">
        <f t="shared" si="3"/>
        <v>7</v>
      </c>
      <c r="AD36" s="15" t="str">
        <f t="shared" si="4"/>
        <v>L</v>
      </c>
      <c r="AE36" s="27" t="s">
        <v>13</v>
      </c>
      <c r="AF36" s="17" t="s">
        <v>14</v>
      </c>
      <c r="AG36" s="17">
        <v>265</v>
      </c>
      <c r="AH36" s="17">
        <v>86</v>
      </c>
      <c r="AI36" s="17">
        <v>86</v>
      </c>
      <c r="AJ36" s="17">
        <v>71</v>
      </c>
      <c r="AK36" s="17">
        <f>+AI36-AJ36</f>
        <v>15</v>
      </c>
      <c r="AL36" s="47">
        <v>72</v>
      </c>
      <c r="AM36" s="17">
        <v>66</v>
      </c>
      <c r="AN36" s="47">
        <v>6</v>
      </c>
      <c r="AO36" s="47">
        <v>37</v>
      </c>
      <c r="AP36" s="17">
        <v>34</v>
      </c>
      <c r="AQ36" s="17">
        <f>+AO36-AP36</f>
        <v>3</v>
      </c>
      <c r="AR36" s="17"/>
      <c r="AS36" s="17">
        <v>48</v>
      </c>
      <c r="AT36" s="17">
        <v>27</v>
      </c>
      <c r="AU36" s="17">
        <v>3</v>
      </c>
      <c r="AV36" s="17"/>
      <c r="AW36" s="17">
        <v>1</v>
      </c>
      <c r="AX36" s="17"/>
      <c r="AY36" s="17"/>
      <c r="AZ36" s="17"/>
      <c r="BA36" s="17">
        <v>90</v>
      </c>
      <c r="BB36" s="17">
        <v>90</v>
      </c>
      <c r="BC36" s="17">
        <v>72</v>
      </c>
      <c r="BD36" s="17">
        <v>18</v>
      </c>
      <c r="BE36" s="47">
        <v>72</v>
      </c>
      <c r="BF36" s="17">
        <v>65</v>
      </c>
      <c r="BG36" s="47">
        <f>+BE36-BF36</f>
        <v>7</v>
      </c>
      <c r="BH36" s="17">
        <v>47</v>
      </c>
      <c r="BI36" s="17">
        <v>44</v>
      </c>
      <c r="BJ36" s="17">
        <v>3</v>
      </c>
      <c r="BK36" s="17"/>
      <c r="BL36" s="17">
        <v>44</v>
      </c>
      <c r="BM36" s="17">
        <v>27</v>
      </c>
      <c r="BN36" s="17">
        <v>1</v>
      </c>
      <c r="BO36" s="17"/>
      <c r="BP36" s="17">
        <v>0</v>
      </c>
      <c r="BQ36" s="17"/>
      <c r="BR36" s="17"/>
      <c r="BS36" s="17"/>
      <c r="BT36" s="17">
        <f>6+5+1+29+8+3+7+5+1+33+7+3</f>
        <v>108</v>
      </c>
      <c r="BU36" s="17">
        <f>5+5</f>
        <v>10</v>
      </c>
      <c r="BV36" s="17">
        <f>6+7</f>
        <v>13</v>
      </c>
      <c r="BW36" s="17"/>
      <c r="BX36" s="17"/>
      <c r="BY36" s="17">
        <f>1+1</f>
        <v>2</v>
      </c>
      <c r="BZ36" s="17">
        <f>29+8+3+33+7+3</f>
        <v>83</v>
      </c>
      <c r="CA36" s="17"/>
      <c r="CB36" s="17"/>
      <c r="CC36" s="17"/>
      <c r="CD36" s="17"/>
      <c r="CE36" s="17"/>
      <c r="CF36" s="17"/>
      <c r="CG36" s="17"/>
      <c r="CH36" s="17"/>
      <c r="CI36" s="17"/>
      <c r="CJ36" s="17"/>
      <c r="CK36" s="17"/>
      <c r="CL36" s="17"/>
      <c r="CM36" s="17"/>
      <c r="CN36" s="18"/>
      <c r="CO36" s="18"/>
      <c r="CP36" s="18"/>
      <c r="CQ36" s="18"/>
      <c r="CR36" s="18"/>
      <c r="CS36" s="18"/>
      <c r="CT36" s="18"/>
      <c r="CU36" s="18"/>
      <c r="CV36" s="18"/>
      <c r="CW36" s="18"/>
      <c r="CX36" s="18"/>
      <c r="CY36" s="18"/>
    </row>
    <row r="37" spans="1:103" s="19" customFormat="1" x14ac:dyDescent="0.2">
      <c r="A37" s="58">
        <v>32</v>
      </c>
      <c r="B37" s="14" t="s">
        <v>1429</v>
      </c>
      <c r="C37" s="14" t="s">
        <v>79</v>
      </c>
      <c r="D37" s="15" t="s">
        <v>177</v>
      </c>
      <c r="E37" s="15"/>
      <c r="F37" s="15">
        <v>2006</v>
      </c>
      <c r="G37" s="22" t="s">
        <v>676</v>
      </c>
      <c r="H37" s="24" t="s">
        <v>732</v>
      </c>
      <c r="I37" s="17" t="s">
        <v>8</v>
      </c>
      <c r="J37" s="27" t="s">
        <v>431</v>
      </c>
      <c r="K37" s="27" t="s">
        <v>1471</v>
      </c>
      <c r="L37" s="17" t="s">
        <v>32</v>
      </c>
      <c r="M37" s="15" t="s">
        <v>25</v>
      </c>
      <c r="N37" s="17" t="s">
        <v>201</v>
      </c>
      <c r="O37" s="17" t="s">
        <v>730</v>
      </c>
      <c r="P37" s="17" t="s">
        <v>221</v>
      </c>
      <c r="Q37" s="17" t="s">
        <v>313</v>
      </c>
      <c r="R37" s="27" t="s">
        <v>733</v>
      </c>
      <c r="S37" s="17" t="s">
        <v>178</v>
      </c>
      <c r="T37" s="17" t="s">
        <v>731</v>
      </c>
      <c r="U37" s="17" t="s">
        <v>354</v>
      </c>
      <c r="V37" s="57">
        <v>10</v>
      </c>
      <c r="W37" s="57" t="str">
        <f t="shared" si="5"/>
        <v>L</v>
      </c>
      <c r="X37" s="17" t="s">
        <v>131</v>
      </c>
      <c r="Y37" s="17" t="s">
        <v>388</v>
      </c>
      <c r="Z37" s="31" t="s">
        <v>559</v>
      </c>
      <c r="AA37" s="17" t="s">
        <v>692</v>
      </c>
      <c r="AB37" s="17" t="s">
        <v>354</v>
      </c>
      <c r="AC37" s="15">
        <v>10</v>
      </c>
      <c r="AD37" s="15" t="str">
        <f t="shared" si="4"/>
        <v>L</v>
      </c>
      <c r="AE37" s="17" t="s">
        <v>558</v>
      </c>
      <c r="AF37" s="17" t="s">
        <v>14</v>
      </c>
      <c r="AG37" s="17">
        <v>71</v>
      </c>
      <c r="AH37" s="17">
        <v>35</v>
      </c>
      <c r="AI37" s="17">
        <v>35</v>
      </c>
      <c r="AJ37" s="47">
        <f>0.914*AI37</f>
        <v>31.990000000000002</v>
      </c>
      <c r="AK37" s="47">
        <f>+AI37-AJ37</f>
        <v>3.009999999999998</v>
      </c>
      <c r="AL37" s="47">
        <v>35</v>
      </c>
      <c r="AM37" s="17">
        <v>32</v>
      </c>
      <c r="AN37" s="47">
        <v>3</v>
      </c>
      <c r="AO37" s="47">
        <v>25</v>
      </c>
      <c r="AP37" s="17">
        <v>22</v>
      </c>
      <c r="AQ37" s="17">
        <v>3</v>
      </c>
      <c r="AR37" s="17"/>
      <c r="AS37" s="17">
        <v>7</v>
      </c>
      <c r="AT37" s="17"/>
      <c r="AU37" s="17"/>
      <c r="AV37" s="17"/>
      <c r="AW37" s="17"/>
      <c r="AX37" s="17"/>
      <c r="AY37" s="17"/>
      <c r="AZ37" s="17"/>
      <c r="BA37" s="17">
        <v>32</v>
      </c>
      <c r="BB37" s="17">
        <v>32</v>
      </c>
      <c r="BC37" s="17">
        <f>0.875*BB37</f>
        <v>28</v>
      </c>
      <c r="BD37" s="17">
        <v>4</v>
      </c>
      <c r="BE37" s="47">
        <v>32</v>
      </c>
      <c r="BF37" s="17">
        <v>28</v>
      </c>
      <c r="BG37" s="47">
        <v>4</v>
      </c>
      <c r="BH37" s="17">
        <v>25</v>
      </c>
      <c r="BI37" s="17">
        <v>20</v>
      </c>
      <c r="BJ37" s="17">
        <v>5</v>
      </c>
      <c r="BK37" s="17"/>
      <c r="BL37" s="17">
        <v>11</v>
      </c>
      <c r="BM37" s="17"/>
      <c r="BN37" s="17"/>
      <c r="BO37" s="17"/>
      <c r="BP37" s="17"/>
      <c r="BQ37" s="17"/>
      <c r="BR37" s="17"/>
      <c r="BS37" s="17"/>
      <c r="BT37" s="17">
        <f>25+25</f>
        <v>50</v>
      </c>
      <c r="BU37" s="17">
        <f>11+8</f>
        <v>19</v>
      </c>
      <c r="BV37" s="17">
        <v>6</v>
      </c>
      <c r="BW37" s="17">
        <v>1</v>
      </c>
      <c r="BX37" s="17">
        <v>7</v>
      </c>
      <c r="BY37" s="17">
        <v>8</v>
      </c>
      <c r="BZ37" s="17"/>
      <c r="CA37" s="17"/>
      <c r="CB37" s="17"/>
      <c r="CC37" s="17"/>
      <c r="CD37" s="17"/>
      <c r="CE37" s="17"/>
      <c r="CF37" s="17"/>
      <c r="CG37" s="17"/>
      <c r="CH37" s="17"/>
      <c r="CI37" s="17"/>
      <c r="CJ37" s="17"/>
      <c r="CK37" s="17"/>
      <c r="CL37" s="17"/>
      <c r="CM37" s="17"/>
      <c r="CN37" s="18"/>
      <c r="CO37" s="18"/>
      <c r="CP37" s="18"/>
      <c r="CQ37" s="18"/>
      <c r="CR37" s="18"/>
      <c r="CS37" s="18"/>
      <c r="CT37" s="18"/>
      <c r="CU37" s="18"/>
      <c r="CV37" s="18"/>
      <c r="CW37" s="18"/>
      <c r="CX37" s="18"/>
      <c r="CY37" s="18"/>
    </row>
    <row r="38" spans="1:103" s="19" customFormat="1" x14ac:dyDescent="0.2">
      <c r="A38" s="58">
        <v>33</v>
      </c>
      <c r="B38" s="14" t="s">
        <v>1429</v>
      </c>
      <c r="C38" s="14" t="s">
        <v>79</v>
      </c>
      <c r="D38" s="15" t="s">
        <v>29</v>
      </c>
      <c r="E38" s="15" t="s">
        <v>384</v>
      </c>
      <c r="F38" s="15">
        <v>2014</v>
      </c>
      <c r="G38" s="22" t="s">
        <v>45</v>
      </c>
      <c r="H38" s="24" t="s">
        <v>44</v>
      </c>
      <c r="I38" s="17" t="s">
        <v>8</v>
      </c>
      <c r="J38" s="27" t="s">
        <v>36</v>
      </c>
      <c r="K38" s="27" t="s">
        <v>1471</v>
      </c>
      <c r="L38" s="17" t="s">
        <v>32</v>
      </c>
      <c r="M38" s="15" t="s">
        <v>25</v>
      </c>
      <c r="N38" s="17" t="s">
        <v>201</v>
      </c>
      <c r="O38" s="17" t="s">
        <v>404</v>
      </c>
      <c r="P38" s="17" t="s">
        <v>285</v>
      </c>
      <c r="Q38" s="17" t="s">
        <v>313</v>
      </c>
      <c r="R38" s="27" t="s">
        <v>473</v>
      </c>
      <c r="S38" s="17" t="s">
        <v>33</v>
      </c>
      <c r="T38" s="17" t="s">
        <v>474</v>
      </c>
      <c r="U38" s="17">
        <v>5</v>
      </c>
      <c r="V38" s="57">
        <f t="shared" si="1"/>
        <v>5</v>
      </c>
      <c r="W38" s="57" t="str">
        <f t="shared" si="5"/>
        <v>S</v>
      </c>
      <c r="X38" s="17" t="s">
        <v>13</v>
      </c>
      <c r="Y38" s="17" t="s">
        <v>14</v>
      </c>
      <c r="Z38" s="31" t="s">
        <v>33</v>
      </c>
      <c r="AA38" s="17" t="s">
        <v>405</v>
      </c>
      <c r="AB38" s="17">
        <v>10</v>
      </c>
      <c r="AC38" s="15">
        <f t="shared" si="3"/>
        <v>10</v>
      </c>
      <c r="AD38" s="15" t="str">
        <f t="shared" si="4"/>
        <v>L</v>
      </c>
      <c r="AE38" s="27" t="s">
        <v>13</v>
      </c>
      <c r="AF38" s="17" t="s">
        <v>14</v>
      </c>
      <c r="AG38" s="17">
        <f>121+120</f>
        <v>241</v>
      </c>
      <c r="AH38" s="17">
        <v>121</v>
      </c>
      <c r="AI38" s="17"/>
      <c r="AJ38" s="17"/>
      <c r="AK38" s="17"/>
      <c r="AL38" s="47">
        <v>109</v>
      </c>
      <c r="AM38" s="17">
        <f>61+37</f>
        <v>98</v>
      </c>
      <c r="AN38" s="47">
        <f>+AL38-AM38</f>
        <v>11</v>
      </c>
      <c r="AO38" s="47">
        <v>41</v>
      </c>
      <c r="AP38" s="17">
        <v>41</v>
      </c>
      <c r="AQ38" s="17">
        <v>0</v>
      </c>
      <c r="AR38" s="17"/>
      <c r="AS38" s="17">
        <v>56</v>
      </c>
      <c r="AT38" s="17">
        <v>51</v>
      </c>
      <c r="AU38" s="17">
        <v>1</v>
      </c>
      <c r="AV38" s="17"/>
      <c r="AW38" s="17"/>
      <c r="AX38" s="17">
        <v>5</v>
      </c>
      <c r="AY38" s="17"/>
      <c r="AZ38" s="17"/>
      <c r="BA38" s="17">
        <v>120</v>
      </c>
      <c r="BB38" s="17"/>
      <c r="BC38" s="17"/>
      <c r="BD38" s="17"/>
      <c r="BE38" s="47">
        <v>111</v>
      </c>
      <c r="BF38" s="17">
        <f>63+39</f>
        <v>102</v>
      </c>
      <c r="BG38" s="47">
        <f>+BE38-BF38</f>
        <v>9</v>
      </c>
      <c r="BH38" s="17">
        <v>51</v>
      </c>
      <c r="BI38" s="17">
        <v>51</v>
      </c>
      <c r="BJ38" s="17">
        <v>0</v>
      </c>
      <c r="BK38" s="17"/>
      <c r="BL38" s="17">
        <v>59</v>
      </c>
      <c r="BM38" s="17">
        <v>47</v>
      </c>
      <c r="BN38" s="17">
        <v>4</v>
      </c>
      <c r="BO38" s="17"/>
      <c r="BP38" s="17"/>
      <c r="BQ38" s="17">
        <v>9</v>
      </c>
      <c r="BR38" s="17"/>
      <c r="BS38" s="17"/>
      <c r="BT38" s="17">
        <f>41+51+14+9</f>
        <v>115</v>
      </c>
      <c r="BU38" s="17">
        <f>6+12</f>
        <v>18</v>
      </c>
      <c r="BV38" s="17">
        <v>6</v>
      </c>
      <c r="BW38" s="17">
        <v>9</v>
      </c>
      <c r="BX38" s="17">
        <v>2</v>
      </c>
      <c r="BY38" s="17">
        <v>14</v>
      </c>
      <c r="BZ38" s="17">
        <f>14+9</f>
        <v>23</v>
      </c>
      <c r="CA38" s="47">
        <v>2</v>
      </c>
      <c r="CB38" s="17">
        <v>2</v>
      </c>
      <c r="CC38" s="17"/>
      <c r="CD38" s="17"/>
      <c r="CE38" s="17"/>
      <c r="CF38" s="17"/>
      <c r="CG38" s="17"/>
      <c r="CH38" s="17"/>
      <c r="CI38" s="17"/>
      <c r="CJ38" s="17"/>
      <c r="CK38" s="17"/>
      <c r="CL38" s="17"/>
      <c r="CM38" s="17"/>
      <c r="CN38" s="18"/>
      <c r="CO38" s="18"/>
      <c r="CP38" s="18"/>
      <c r="CQ38" s="18"/>
      <c r="CR38" s="18"/>
      <c r="CS38" s="18"/>
      <c r="CT38" s="18"/>
      <c r="CU38" s="18"/>
      <c r="CV38" s="18"/>
      <c r="CW38" s="18"/>
      <c r="CX38" s="18"/>
      <c r="CY38" s="18"/>
    </row>
    <row r="39" spans="1:103" s="19" customFormat="1" x14ac:dyDescent="0.2">
      <c r="A39" s="58">
        <v>34</v>
      </c>
      <c r="B39" s="14" t="s">
        <v>1429</v>
      </c>
      <c r="C39" s="14" t="s">
        <v>79</v>
      </c>
      <c r="D39" s="15" t="s">
        <v>179</v>
      </c>
      <c r="E39" s="15"/>
      <c r="F39" s="15">
        <v>2015</v>
      </c>
      <c r="G39" s="22" t="s">
        <v>677</v>
      </c>
      <c r="H39" s="24" t="s">
        <v>734</v>
      </c>
      <c r="I39" s="17" t="s">
        <v>8</v>
      </c>
      <c r="J39" s="27" t="s">
        <v>181</v>
      </c>
      <c r="K39" s="27" t="s">
        <v>1473</v>
      </c>
      <c r="L39" s="17" t="s">
        <v>32</v>
      </c>
      <c r="M39" s="15" t="s">
        <v>25</v>
      </c>
      <c r="N39" s="17" t="s">
        <v>201</v>
      </c>
      <c r="O39" s="17" t="s">
        <v>404</v>
      </c>
      <c r="P39" s="17" t="s">
        <v>285</v>
      </c>
      <c r="Q39" s="17" t="s">
        <v>313</v>
      </c>
      <c r="R39" s="27" t="s">
        <v>735</v>
      </c>
      <c r="S39" s="17" t="s">
        <v>180</v>
      </c>
      <c r="T39" s="17" t="s">
        <v>698</v>
      </c>
      <c r="U39" s="17" t="s">
        <v>693</v>
      </c>
      <c r="V39" s="57">
        <v>6</v>
      </c>
      <c r="W39" s="57" t="str">
        <f t="shared" si="5"/>
        <v>L</v>
      </c>
      <c r="X39" s="17" t="s">
        <v>511</v>
      </c>
      <c r="Y39" s="17" t="s">
        <v>679</v>
      </c>
      <c r="Z39" s="31" t="s">
        <v>152</v>
      </c>
      <c r="AA39" s="17" t="s">
        <v>710</v>
      </c>
      <c r="AB39" s="17" t="s">
        <v>693</v>
      </c>
      <c r="AC39" s="15">
        <v>7</v>
      </c>
      <c r="AD39" s="15" t="str">
        <f t="shared" si="4"/>
        <v>L</v>
      </c>
      <c r="AE39" s="27" t="s">
        <v>511</v>
      </c>
      <c r="AF39" s="17" t="s">
        <v>14</v>
      </c>
      <c r="AG39" s="17">
        <v>847</v>
      </c>
      <c r="AH39" s="17">
        <v>385</v>
      </c>
      <c r="AI39" s="17">
        <v>381</v>
      </c>
      <c r="AJ39" s="17">
        <v>305</v>
      </c>
      <c r="AK39" s="17">
        <f>+AI39-AJ39</f>
        <v>76</v>
      </c>
      <c r="AL39" s="47">
        <v>258</v>
      </c>
      <c r="AM39" s="17">
        <v>217</v>
      </c>
      <c r="AN39" s="47">
        <f>+AL39-AM39</f>
        <v>41</v>
      </c>
      <c r="AO39" s="47">
        <v>57</v>
      </c>
      <c r="AP39" s="17">
        <v>50</v>
      </c>
      <c r="AQ39" s="17">
        <v>7</v>
      </c>
      <c r="AR39" s="17"/>
      <c r="AS39" s="17">
        <v>172</v>
      </c>
      <c r="AT39" s="17"/>
      <c r="AU39" s="17">
        <v>30</v>
      </c>
      <c r="AV39" s="17"/>
      <c r="AW39" s="17">
        <v>3</v>
      </c>
      <c r="AX39" s="17"/>
      <c r="AY39" s="17"/>
      <c r="AZ39" s="17"/>
      <c r="BA39" s="17">
        <v>386</v>
      </c>
      <c r="BB39" s="17">
        <v>382</v>
      </c>
      <c r="BC39" s="17">
        <v>256</v>
      </c>
      <c r="BD39" s="17">
        <v>126</v>
      </c>
      <c r="BE39" s="47">
        <v>240</v>
      </c>
      <c r="BF39" s="17">
        <v>178</v>
      </c>
      <c r="BG39" s="47">
        <f>+BE39-BF39</f>
        <v>62</v>
      </c>
      <c r="BH39" s="17">
        <v>62</v>
      </c>
      <c r="BI39" s="17">
        <v>47</v>
      </c>
      <c r="BJ39" s="17">
        <f>+BH39-BI39</f>
        <v>15</v>
      </c>
      <c r="BK39" s="17"/>
      <c r="BL39" s="17">
        <v>163</v>
      </c>
      <c r="BM39" s="17"/>
      <c r="BN39" s="17">
        <v>29</v>
      </c>
      <c r="BO39" s="17"/>
      <c r="BP39" s="17">
        <v>4</v>
      </c>
      <c r="BQ39" s="17"/>
      <c r="BR39" s="17"/>
      <c r="BS39" s="17"/>
      <c r="BT39" s="17">
        <f>57+62</f>
        <v>119</v>
      </c>
      <c r="BU39" s="17">
        <f>22+15</f>
        <v>37</v>
      </c>
      <c r="BV39" s="17">
        <f>12+6</f>
        <v>18</v>
      </c>
      <c r="BW39" s="17">
        <f>14+16</f>
        <v>30</v>
      </c>
      <c r="BX39" s="17"/>
      <c r="BY39" s="17">
        <v>8</v>
      </c>
      <c r="BZ39" s="17"/>
      <c r="CA39" s="17"/>
      <c r="CB39" s="17"/>
      <c r="CC39" s="17"/>
      <c r="CD39" s="17"/>
      <c r="CE39" s="17"/>
      <c r="CF39" s="17"/>
      <c r="CG39" s="17"/>
      <c r="CH39" s="17"/>
      <c r="CI39" s="17"/>
      <c r="CJ39" s="17"/>
      <c r="CK39" s="17"/>
      <c r="CL39" s="17"/>
      <c r="CM39" s="17"/>
      <c r="CN39" s="18"/>
      <c r="CO39" s="18"/>
      <c r="CP39" s="18"/>
      <c r="CQ39" s="18"/>
      <c r="CR39" s="18"/>
      <c r="CS39" s="18"/>
      <c r="CT39" s="18"/>
      <c r="CU39" s="18"/>
      <c r="CV39" s="18"/>
      <c r="CW39" s="18"/>
      <c r="CX39" s="18"/>
      <c r="CY39" s="18"/>
    </row>
    <row r="40" spans="1:103" s="36" customFormat="1" x14ac:dyDescent="0.2">
      <c r="A40" s="58">
        <v>35</v>
      </c>
      <c r="B40" s="14" t="s">
        <v>1429</v>
      </c>
      <c r="C40" s="30" t="s">
        <v>79</v>
      </c>
      <c r="D40" s="31" t="s">
        <v>122</v>
      </c>
      <c r="E40" s="31"/>
      <c r="F40" s="31">
        <v>2004</v>
      </c>
      <c r="G40" s="32" t="s">
        <v>741</v>
      </c>
      <c r="H40" s="41" t="s">
        <v>740</v>
      </c>
      <c r="I40" s="31" t="s">
        <v>8</v>
      </c>
      <c r="J40" s="31" t="s">
        <v>35</v>
      </c>
      <c r="K40" s="31" t="s">
        <v>1472</v>
      </c>
      <c r="L40" s="31" t="s">
        <v>32</v>
      </c>
      <c r="M40" s="15" t="s">
        <v>25</v>
      </c>
      <c r="N40" s="31" t="s">
        <v>201</v>
      </c>
      <c r="O40" s="31" t="s">
        <v>404</v>
      </c>
      <c r="P40" s="31" t="s">
        <v>285</v>
      </c>
      <c r="Q40" s="31" t="s">
        <v>313</v>
      </c>
      <c r="R40" s="32" t="s">
        <v>745</v>
      </c>
      <c r="S40" s="31" t="s">
        <v>33</v>
      </c>
      <c r="T40" s="31" t="s">
        <v>405</v>
      </c>
      <c r="U40" s="31" t="s">
        <v>354</v>
      </c>
      <c r="V40" s="57">
        <v>10</v>
      </c>
      <c r="W40" s="57" t="str">
        <f t="shared" si="5"/>
        <v>L</v>
      </c>
      <c r="X40" s="31" t="s">
        <v>13</v>
      </c>
      <c r="Y40" s="31" t="s">
        <v>14</v>
      </c>
      <c r="Z40" s="31" t="s">
        <v>1458</v>
      </c>
      <c r="AA40" s="32" t="s">
        <v>746</v>
      </c>
      <c r="AB40" s="31" t="s">
        <v>354</v>
      </c>
      <c r="AC40" s="15">
        <v>10</v>
      </c>
      <c r="AD40" s="15" t="str">
        <f t="shared" si="4"/>
        <v>L</v>
      </c>
      <c r="AE40" s="32" t="s">
        <v>507</v>
      </c>
      <c r="AF40" s="31" t="s">
        <v>14</v>
      </c>
      <c r="AG40" s="33">
        <v>269</v>
      </c>
      <c r="AH40" s="33">
        <v>132</v>
      </c>
      <c r="AI40" s="33">
        <v>132</v>
      </c>
      <c r="AJ40" s="33">
        <v>96</v>
      </c>
      <c r="AK40" s="33">
        <f>14+22</f>
        <v>36</v>
      </c>
      <c r="AL40" s="44">
        <v>95</v>
      </c>
      <c r="AM40" s="33">
        <v>85</v>
      </c>
      <c r="AN40" s="44">
        <v>10</v>
      </c>
      <c r="AO40" s="44">
        <f>15+4+5+11+9+5</f>
        <v>49</v>
      </c>
      <c r="AP40" s="33">
        <f>23+19</f>
        <v>42</v>
      </c>
      <c r="AQ40" s="33">
        <f>+AO40-AP40</f>
        <v>7</v>
      </c>
      <c r="AR40" s="33"/>
      <c r="AS40" s="33">
        <v>3</v>
      </c>
      <c r="AT40" s="33"/>
      <c r="AU40" s="33"/>
      <c r="AV40" s="33"/>
      <c r="AW40" s="33">
        <v>15</v>
      </c>
      <c r="AX40" s="33"/>
      <c r="AY40" s="33"/>
      <c r="AZ40" s="33"/>
      <c r="BA40" s="33">
        <v>137</v>
      </c>
      <c r="BB40" s="33">
        <v>137</v>
      </c>
      <c r="BC40" s="33">
        <v>88</v>
      </c>
      <c r="BD40" s="33">
        <v>49</v>
      </c>
      <c r="BE40" s="44">
        <v>89</v>
      </c>
      <c r="BF40" s="33">
        <v>74</v>
      </c>
      <c r="BG40" s="44">
        <v>15</v>
      </c>
      <c r="BH40" s="33">
        <f>31+27</f>
        <v>58</v>
      </c>
      <c r="BI40" s="33">
        <f>+BH40-9</f>
        <v>49</v>
      </c>
      <c r="BJ40" s="33">
        <v>9</v>
      </c>
      <c r="BK40" s="33"/>
      <c r="BL40" s="33">
        <v>12</v>
      </c>
      <c r="BM40" s="33"/>
      <c r="BN40" s="33"/>
      <c r="BO40" s="33"/>
      <c r="BP40" s="33">
        <v>9</v>
      </c>
      <c r="BQ40" s="33"/>
      <c r="BR40" s="33"/>
      <c r="BS40" s="33"/>
      <c r="BT40" s="33">
        <f>15+4+5+11+5+9+11+11+12+10+8+20</f>
        <v>121</v>
      </c>
      <c r="BU40" s="33">
        <v>35</v>
      </c>
      <c r="BV40" s="33">
        <v>12</v>
      </c>
      <c r="BW40" s="33"/>
      <c r="BX40" s="33"/>
      <c r="BY40" s="33"/>
      <c r="BZ40" s="33">
        <f>11+5+9+11+11+12</f>
        <v>59</v>
      </c>
      <c r="CA40" s="33"/>
      <c r="CB40" s="33"/>
      <c r="CC40" s="33"/>
      <c r="CD40" s="33"/>
      <c r="CE40" s="33"/>
      <c r="CF40" s="33"/>
      <c r="CG40" s="33"/>
      <c r="CH40" s="33"/>
      <c r="CI40" s="33"/>
      <c r="CJ40" s="33"/>
      <c r="CK40" s="33"/>
      <c r="CL40" s="33"/>
      <c r="CM40" s="33"/>
      <c r="CN40" s="35"/>
      <c r="CO40" s="35"/>
      <c r="CP40" s="35"/>
      <c r="CQ40" s="35"/>
      <c r="CR40" s="35"/>
      <c r="CS40" s="35"/>
      <c r="CT40" s="35"/>
      <c r="CU40" s="35"/>
      <c r="CV40" s="35"/>
      <c r="CW40" s="35"/>
      <c r="CX40" s="35"/>
      <c r="CY40" s="35"/>
    </row>
    <row r="41" spans="1:103" s="29" customFormat="1" x14ac:dyDescent="0.2">
      <c r="A41" s="58">
        <v>36</v>
      </c>
      <c r="B41" s="14" t="s">
        <v>1429</v>
      </c>
      <c r="C41" s="30" t="s">
        <v>79</v>
      </c>
      <c r="D41" s="31" t="s">
        <v>276</v>
      </c>
      <c r="E41" s="31"/>
      <c r="F41" s="31">
        <v>2007</v>
      </c>
      <c r="G41" s="32" t="s">
        <v>290</v>
      </c>
      <c r="H41" s="41" t="s">
        <v>744</v>
      </c>
      <c r="I41" s="31" t="s">
        <v>8</v>
      </c>
      <c r="J41" s="32" t="s">
        <v>277</v>
      </c>
      <c r="K41" s="32" t="s">
        <v>1473</v>
      </c>
      <c r="L41" s="15" t="s">
        <v>68</v>
      </c>
      <c r="M41" s="31" t="s">
        <v>333</v>
      </c>
      <c r="N41" s="31" t="s">
        <v>75</v>
      </c>
      <c r="O41" s="31" t="s">
        <v>747</v>
      </c>
      <c r="P41" s="31" t="s">
        <v>285</v>
      </c>
      <c r="Q41" s="31" t="s">
        <v>313</v>
      </c>
      <c r="R41" s="32" t="s">
        <v>748</v>
      </c>
      <c r="S41" s="31" t="s">
        <v>33</v>
      </c>
      <c r="T41" s="31" t="s">
        <v>750</v>
      </c>
      <c r="U41" s="31">
        <v>10</v>
      </c>
      <c r="V41" s="57">
        <f t="shared" si="1"/>
        <v>10</v>
      </c>
      <c r="W41" s="57" t="str">
        <f t="shared" si="5"/>
        <v>L</v>
      </c>
      <c r="X41" s="31" t="s">
        <v>13</v>
      </c>
      <c r="Y41" s="31" t="s">
        <v>14</v>
      </c>
      <c r="Z41" s="31" t="s">
        <v>1459</v>
      </c>
      <c r="AA41" s="32" t="s">
        <v>751</v>
      </c>
      <c r="AB41" s="31">
        <v>10</v>
      </c>
      <c r="AC41" s="15">
        <f t="shared" si="3"/>
        <v>10</v>
      </c>
      <c r="AD41" s="15" t="str">
        <f t="shared" si="4"/>
        <v>L</v>
      </c>
      <c r="AE41" s="32" t="s">
        <v>752</v>
      </c>
      <c r="AF41" s="31" t="s">
        <v>753</v>
      </c>
      <c r="AG41" s="33">
        <v>709</v>
      </c>
      <c r="AH41" s="33">
        <v>529</v>
      </c>
      <c r="AI41" s="33">
        <v>503</v>
      </c>
      <c r="AJ41" s="33">
        <v>439</v>
      </c>
      <c r="AK41" s="33">
        <f>+AI41-AJ41</f>
        <v>64</v>
      </c>
      <c r="AL41" s="44">
        <v>405</v>
      </c>
      <c r="AM41" s="33">
        <v>382</v>
      </c>
      <c r="AN41" s="44">
        <f t="shared" ref="AN41:AN47" si="9">+AL41-AM41</f>
        <v>23</v>
      </c>
      <c r="AO41" s="44">
        <v>143</v>
      </c>
      <c r="AP41" s="33">
        <v>138</v>
      </c>
      <c r="AQ41" s="33">
        <v>5</v>
      </c>
      <c r="AR41" s="33"/>
      <c r="AS41" s="33">
        <v>275</v>
      </c>
      <c r="AT41" s="33"/>
      <c r="AU41" s="33">
        <v>33</v>
      </c>
      <c r="AV41" s="33"/>
      <c r="AW41" s="33">
        <v>2</v>
      </c>
      <c r="AX41" s="33"/>
      <c r="AY41" s="33"/>
      <c r="AZ41" s="33"/>
      <c r="BA41" s="33">
        <v>180</v>
      </c>
      <c r="BB41" s="33">
        <v>170</v>
      </c>
      <c r="BC41" s="33">
        <v>145</v>
      </c>
      <c r="BD41" s="33">
        <v>25</v>
      </c>
      <c r="BE41" s="44">
        <v>134</v>
      </c>
      <c r="BF41" s="33">
        <v>126</v>
      </c>
      <c r="BG41" s="44">
        <v>8</v>
      </c>
      <c r="BH41" s="33">
        <v>47</v>
      </c>
      <c r="BI41" s="33">
        <v>45</v>
      </c>
      <c r="BJ41" s="33">
        <v>2</v>
      </c>
      <c r="BK41" s="33"/>
      <c r="BL41" s="33">
        <v>94</v>
      </c>
      <c r="BM41" s="33"/>
      <c r="BN41" s="33">
        <v>8</v>
      </c>
      <c r="BO41" s="33"/>
      <c r="BP41" s="33">
        <v>0</v>
      </c>
      <c r="BQ41" s="33"/>
      <c r="BR41" s="33"/>
      <c r="BS41" s="33"/>
      <c r="BT41" s="33">
        <f>66+1+2+5+2+3+63+2+3+4+2+1+1+2+1+1+1+21+1+1+2+3+18</f>
        <v>206</v>
      </c>
      <c r="BU41" s="33">
        <f>7+3+7+2</f>
        <v>19</v>
      </c>
      <c r="BV41" s="33">
        <f>4+2</f>
        <v>6</v>
      </c>
      <c r="BW41" s="33">
        <v>2</v>
      </c>
      <c r="BX41" s="33"/>
      <c r="BY41" s="33"/>
      <c r="BZ41" s="33">
        <f>67+18+3+65+22</f>
        <v>175</v>
      </c>
      <c r="CA41" s="33"/>
      <c r="CB41" s="33"/>
      <c r="CC41" s="33"/>
      <c r="CD41" s="33"/>
      <c r="CE41" s="33"/>
      <c r="CF41" s="33"/>
      <c r="CG41" s="33"/>
      <c r="CH41" s="33"/>
      <c r="CI41" s="33"/>
      <c r="CJ41" s="33"/>
      <c r="CK41" s="33"/>
      <c r="CL41" s="33"/>
      <c r="CM41" s="33"/>
      <c r="CN41" s="35"/>
      <c r="CO41" s="35"/>
      <c r="CP41" s="35"/>
      <c r="CQ41" s="35"/>
      <c r="CR41" s="35"/>
      <c r="CS41" s="35"/>
      <c r="CT41" s="35"/>
      <c r="CU41" s="35"/>
      <c r="CV41" s="35"/>
      <c r="CW41" s="35"/>
      <c r="CX41" s="35"/>
      <c r="CY41" s="35"/>
    </row>
    <row r="42" spans="1:103" s="36" customFormat="1" x14ac:dyDescent="0.2">
      <c r="A42" s="58">
        <v>37</v>
      </c>
      <c r="B42" s="30" t="s">
        <v>1429</v>
      </c>
      <c r="C42" s="30" t="s">
        <v>79</v>
      </c>
      <c r="D42" s="31" t="s">
        <v>203</v>
      </c>
      <c r="E42" s="31"/>
      <c r="F42" s="31">
        <v>1995</v>
      </c>
      <c r="G42" s="32" t="s">
        <v>206</v>
      </c>
      <c r="H42" s="41" t="s">
        <v>743</v>
      </c>
      <c r="I42" s="31" t="s">
        <v>8</v>
      </c>
      <c r="J42" s="32" t="s">
        <v>367</v>
      </c>
      <c r="K42" s="32" t="s">
        <v>1473</v>
      </c>
      <c r="L42" s="31" t="s">
        <v>31</v>
      </c>
      <c r="M42" s="15" t="s">
        <v>25</v>
      </c>
      <c r="N42" s="31" t="s">
        <v>201</v>
      </c>
      <c r="O42" s="33" t="s">
        <v>404</v>
      </c>
      <c r="P42" s="31" t="s">
        <v>285</v>
      </c>
      <c r="Q42" s="33" t="s">
        <v>313</v>
      </c>
      <c r="R42" s="32" t="s">
        <v>365</v>
      </c>
      <c r="S42" s="31" t="s">
        <v>531</v>
      </c>
      <c r="T42" s="31" t="s">
        <v>749</v>
      </c>
      <c r="U42" s="31">
        <v>10</v>
      </c>
      <c r="V42" s="57">
        <f t="shared" si="1"/>
        <v>10</v>
      </c>
      <c r="W42" s="57" t="str">
        <f t="shared" si="5"/>
        <v>L</v>
      </c>
      <c r="X42" s="31" t="s">
        <v>131</v>
      </c>
      <c r="Y42" s="31" t="s">
        <v>388</v>
      </c>
      <c r="Z42" s="31" t="s">
        <v>137</v>
      </c>
      <c r="AA42" s="32" t="s">
        <v>754</v>
      </c>
      <c r="AB42" s="49" t="s">
        <v>368</v>
      </c>
      <c r="AC42" s="15" t="str">
        <f t="shared" si="3"/>
        <v>10</v>
      </c>
      <c r="AD42" s="15" t="str">
        <f t="shared" si="4"/>
        <v>L</v>
      </c>
      <c r="AE42" s="31" t="s">
        <v>13</v>
      </c>
      <c r="AF42" s="31" t="s">
        <v>14</v>
      </c>
      <c r="AG42" s="33">
        <f>401+199</f>
        <v>600</v>
      </c>
      <c r="AH42" s="33">
        <v>199</v>
      </c>
      <c r="AI42" s="33">
        <v>199</v>
      </c>
      <c r="AJ42" s="33">
        <v>154</v>
      </c>
      <c r="AK42" s="33">
        <f>+AI42-AJ42</f>
        <v>45</v>
      </c>
      <c r="AL42" s="44">
        <v>152</v>
      </c>
      <c r="AM42" s="33">
        <v>121</v>
      </c>
      <c r="AN42" s="44">
        <f t="shared" si="9"/>
        <v>31</v>
      </c>
      <c r="AO42" s="44">
        <f>25+21+12+3+2+1+2+3+3</f>
        <v>72</v>
      </c>
      <c r="AP42" s="33">
        <f>20+19+11+2+1+1+2+2</f>
        <v>58</v>
      </c>
      <c r="AQ42" s="33">
        <f>+AO42-AP42</f>
        <v>14</v>
      </c>
      <c r="AR42" s="33"/>
      <c r="AS42" s="44">
        <f>199*0.5</f>
        <v>99.5</v>
      </c>
      <c r="AT42" s="33"/>
      <c r="AU42" s="33"/>
      <c r="AV42" s="33"/>
      <c r="AW42" s="44">
        <f>0.02*AH42</f>
        <v>3.98</v>
      </c>
      <c r="AX42" s="33"/>
      <c r="AY42" s="33"/>
      <c r="AZ42" s="33"/>
      <c r="BA42" s="33">
        <v>401</v>
      </c>
      <c r="BB42" s="33">
        <v>401</v>
      </c>
      <c r="BC42" s="33">
        <v>324</v>
      </c>
      <c r="BD42" s="33">
        <v>77</v>
      </c>
      <c r="BE42" s="44">
        <v>310</v>
      </c>
      <c r="BF42" s="33">
        <v>269</v>
      </c>
      <c r="BG42" s="44">
        <f>+BE42-BF42</f>
        <v>41</v>
      </c>
      <c r="BH42" s="33">
        <f>72+27+14+7+1+2+9+6+2+5</f>
        <v>145</v>
      </c>
      <c r="BI42" s="33">
        <f>61+26+12+7+1+2+8+6+2+5</f>
        <v>130</v>
      </c>
      <c r="BJ42" s="33">
        <v>15</v>
      </c>
      <c r="BK42" s="33"/>
      <c r="BL42" s="33">
        <f>12+11+9+8+18+16+5</f>
        <v>79</v>
      </c>
      <c r="BM42" s="33"/>
      <c r="BN42" s="33"/>
      <c r="BO42" s="33"/>
      <c r="BP42" s="44">
        <f>0.045*BB42</f>
        <v>18.044999999999998</v>
      </c>
      <c r="BQ42" s="33"/>
      <c r="BR42" s="33"/>
      <c r="BS42" s="33"/>
      <c r="BT42" s="33">
        <f>72+145</f>
        <v>217</v>
      </c>
      <c r="BU42" s="33">
        <f>72+25</f>
        <v>97</v>
      </c>
      <c r="BV42" s="33">
        <f>27+21</f>
        <v>48</v>
      </c>
      <c r="BW42" s="33">
        <v>8</v>
      </c>
      <c r="BX42" s="33"/>
      <c r="BY42" s="33">
        <f>9+2</f>
        <v>11</v>
      </c>
      <c r="BZ42" s="33">
        <f>7+14+1+6+1+7</f>
        <v>36</v>
      </c>
      <c r="CA42" s="33"/>
      <c r="CB42" s="33"/>
      <c r="CC42" s="33"/>
      <c r="CD42" s="33"/>
      <c r="CE42" s="33"/>
      <c r="CF42" s="33"/>
      <c r="CG42" s="33"/>
      <c r="CH42" s="33"/>
      <c r="CI42" s="33"/>
      <c r="CJ42" s="33"/>
      <c r="CK42" s="33"/>
      <c r="CL42" s="33"/>
      <c r="CM42" s="33"/>
      <c r="CN42" s="35"/>
      <c r="CO42" s="35"/>
      <c r="CP42" s="35"/>
      <c r="CQ42" s="35"/>
      <c r="CR42" s="35"/>
      <c r="CS42" s="35"/>
      <c r="CT42" s="35"/>
      <c r="CU42" s="35"/>
      <c r="CV42" s="35"/>
      <c r="CW42" s="35"/>
      <c r="CX42" s="35"/>
      <c r="CY42" s="35"/>
    </row>
    <row r="43" spans="1:103" s="36" customFormat="1" x14ac:dyDescent="0.2">
      <c r="A43" s="58">
        <v>37</v>
      </c>
      <c r="B43" s="30" t="s">
        <v>1430</v>
      </c>
      <c r="C43" s="30" t="s">
        <v>79</v>
      </c>
      <c r="D43" s="31" t="s">
        <v>203</v>
      </c>
      <c r="E43" s="31"/>
      <c r="F43" s="31">
        <v>1995</v>
      </c>
      <c r="G43" s="32" t="s">
        <v>206</v>
      </c>
      <c r="H43" s="41" t="s">
        <v>743</v>
      </c>
      <c r="I43" s="31" t="s">
        <v>8</v>
      </c>
      <c r="J43" s="32" t="s">
        <v>367</v>
      </c>
      <c r="K43" s="32" t="s">
        <v>1473</v>
      </c>
      <c r="L43" s="31" t="s">
        <v>31</v>
      </c>
      <c r="M43" s="15" t="s">
        <v>25</v>
      </c>
      <c r="N43" s="31" t="s">
        <v>201</v>
      </c>
      <c r="O43" s="33" t="s">
        <v>404</v>
      </c>
      <c r="P43" s="31" t="s">
        <v>285</v>
      </c>
      <c r="Q43" s="33" t="s">
        <v>313</v>
      </c>
      <c r="R43" s="32" t="s">
        <v>365</v>
      </c>
      <c r="S43" s="31" t="s">
        <v>198</v>
      </c>
      <c r="T43" s="31" t="s">
        <v>755</v>
      </c>
      <c r="U43" s="31">
        <v>10</v>
      </c>
      <c r="V43" s="57">
        <f t="shared" si="1"/>
        <v>10</v>
      </c>
      <c r="W43" s="57" t="str">
        <f t="shared" si="5"/>
        <v>L</v>
      </c>
      <c r="X43" s="31" t="s">
        <v>16</v>
      </c>
      <c r="Y43" s="31" t="s">
        <v>388</v>
      </c>
      <c r="Z43" s="31" t="s">
        <v>137</v>
      </c>
      <c r="AA43" s="32" t="s">
        <v>754</v>
      </c>
      <c r="AB43" s="49" t="s">
        <v>368</v>
      </c>
      <c r="AC43" s="15" t="str">
        <f t="shared" si="3"/>
        <v>10</v>
      </c>
      <c r="AD43" s="15" t="str">
        <f t="shared" si="4"/>
        <v>L</v>
      </c>
      <c r="AE43" s="31" t="s">
        <v>13</v>
      </c>
      <c r="AF43" s="31" t="s">
        <v>14</v>
      </c>
      <c r="AG43" s="33">
        <f>208+401</f>
        <v>609</v>
      </c>
      <c r="AH43" s="33">
        <v>208</v>
      </c>
      <c r="AI43" s="33">
        <v>208</v>
      </c>
      <c r="AJ43" s="33">
        <v>154</v>
      </c>
      <c r="AK43" s="33">
        <f>+AI43-AJ43</f>
        <v>54</v>
      </c>
      <c r="AL43" s="44">
        <v>158</v>
      </c>
      <c r="AM43" s="33">
        <v>135</v>
      </c>
      <c r="AN43" s="44">
        <f t="shared" si="9"/>
        <v>23</v>
      </c>
      <c r="AO43" s="44">
        <f>45+14+6+1+7+1+2+3+1+1</f>
        <v>81</v>
      </c>
      <c r="AP43" s="33">
        <f>38+13+6+1+7+1+2+3+1</f>
        <v>72</v>
      </c>
      <c r="AQ43" s="33">
        <f>+AO43-AP43</f>
        <v>9</v>
      </c>
      <c r="AR43" s="33"/>
      <c r="AS43" s="44">
        <f>0.54*AI43</f>
        <v>112.32000000000001</v>
      </c>
      <c r="AT43" s="33"/>
      <c r="AU43" s="33"/>
      <c r="AV43" s="33"/>
      <c r="AW43" s="44">
        <f>0.048*AH43</f>
        <v>9.984</v>
      </c>
      <c r="AX43" s="33"/>
      <c r="AY43" s="33"/>
      <c r="AZ43" s="33"/>
      <c r="BA43" s="33">
        <v>401</v>
      </c>
      <c r="BB43" s="33">
        <v>401</v>
      </c>
      <c r="BC43" s="33">
        <v>324</v>
      </c>
      <c r="BD43" s="33">
        <v>77</v>
      </c>
      <c r="BE43" s="44">
        <v>310</v>
      </c>
      <c r="BF43" s="33">
        <v>269</v>
      </c>
      <c r="BG43" s="44">
        <f>+BE43-BF43</f>
        <v>41</v>
      </c>
      <c r="BH43" s="33">
        <f>72+27+14+7+1+2+9+6+2+5</f>
        <v>145</v>
      </c>
      <c r="BI43" s="33">
        <f>61+26+12+7+1+2+8+6+2+5</f>
        <v>130</v>
      </c>
      <c r="BJ43" s="33">
        <v>15</v>
      </c>
      <c r="BK43" s="33"/>
      <c r="BL43" s="33">
        <f>+BL42</f>
        <v>79</v>
      </c>
      <c r="BM43" s="33"/>
      <c r="BN43" s="33"/>
      <c r="BO43" s="33"/>
      <c r="BP43" s="44">
        <f>0.045*BB43</f>
        <v>18.044999999999998</v>
      </c>
      <c r="BQ43" s="33"/>
      <c r="BR43" s="33"/>
      <c r="BS43" s="33"/>
      <c r="BT43" s="33">
        <f>72+27+14+7+1+2+9+6+2+5+45+14+6+8+3+3+2</f>
        <v>226</v>
      </c>
      <c r="BU43" s="33">
        <f>72+45</f>
        <v>117</v>
      </c>
      <c r="BV43" s="33">
        <f>27+14</f>
        <v>41</v>
      </c>
      <c r="BW43" s="33">
        <f>5+1</f>
        <v>6</v>
      </c>
      <c r="BX43" s="33"/>
      <c r="BY43" s="33">
        <f>9+2</f>
        <v>11</v>
      </c>
      <c r="BZ43" s="33">
        <f>12+6+8+8</f>
        <v>34</v>
      </c>
      <c r="CA43" s="33"/>
      <c r="CB43" s="33"/>
      <c r="CC43" s="33"/>
      <c r="CD43" s="33"/>
      <c r="CE43" s="33"/>
      <c r="CF43" s="33"/>
      <c r="CG43" s="33"/>
      <c r="CH43" s="33"/>
      <c r="CI43" s="33"/>
      <c r="CJ43" s="33"/>
      <c r="CK43" s="33"/>
      <c r="CL43" s="33"/>
      <c r="CM43" s="33"/>
      <c r="CN43" s="35"/>
      <c r="CO43" s="35"/>
      <c r="CP43" s="35"/>
      <c r="CQ43" s="35"/>
      <c r="CR43" s="35"/>
      <c r="CS43" s="35"/>
      <c r="CT43" s="35"/>
      <c r="CU43" s="35"/>
      <c r="CV43" s="35"/>
      <c r="CW43" s="35"/>
      <c r="CX43" s="35"/>
      <c r="CY43" s="35"/>
    </row>
    <row r="44" spans="1:103" s="29" customFormat="1" ht="17" customHeight="1" x14ac:dyDescent="0.2">
      <c r="A44" s="58">
        <v>38</v>
      </c>
      <c r="B44" s="30" t="s">
        <v>1429</v>
      </c>
      <c r="C44" s="30" t="s">
        <v>79</v>
      </c>
      <c r="D44" s="31" t="s">
        <v>128</v>
      </c>
      <c r="E44" s="31"/>
      <c r="F44" s="31">
        <v>2001</v>
      </c>
      <c r="G44" s="32" t="s">
        <v>222</v>
      </c>
      <c r="H44" s="41" t="s">
        <v>742</v>
      </c>
      <c r="I44" s="31" t="s">
        <v>8</v>
      </c>
      <c r="J44" s="32" t="s">
        <v>38</v>
      </c>
      <c r="K44" s="32" t="s">
        <v>1473</v>
      </c>
      <c r="L44" s="31" t="s">
        <v>31</v>
      </c>
      <c r="M44" s="31" t="s">
        <v>333</v>
      </c>
      <c r="N44" s="31" t="s">
        <v>201</v>
      </c>
      <c r="O44" s="33" t="s">
        <v>404</v>
      </c>
      <c r="P44" s="31" t="s">
        <v>285</v>
      </c>
      <c r="Q44" s="33" t="s">
        <v>313</v>
      </c>
      <c r="R44" s="50" t="s">
        <v>756</v>
      </c>
      <c r="S44" s="31" t="s">
        <v>40</v>
      </c>
      <c r="T44" s="31" t="s">
        <v>757</v>
      </c>
      <c r="U44" s="31">
        <v>10</v>
      </c>
      <c r="V44" s="57">
        <f t="shared" si="1"/>
        <v>10</v>
      </c>
      <c r="W44" s="57" t="str">
        <f t="shared" si="5"/>
        <v>L</v>
      </c>
      <c r="X44" s="31" t="s">
        <v>13</v>
      </c>
      <c r="Y44" s="31" t="s">
        <v>14</v>
      </c>
      <c r="Z44" s="31" t="s">
        <v>54</v>
      </c>
      <c r="AA44" s="31" t="s">
        <v>579</v>
      </c>
      <c r="AB44" s="31">
        <v>10</v>
      </c>
      <c r="AC44" s="15">
        <f t="shared" si="3"/>
        <v>10</v>
      </c>
      <c r="AD44" s="15" t="str">
        <f t="shared" si="4"/>
        <v>L</v>
      </c>
      <c r="AE44" s="31" t="s">
        <v>16</v>
      </c>
      <c r="AF44" s="31" t="s">
        <v>14</v>
      </c>
      <c r="AG44" s="33">
        <f>229+222</f>
        <v>451</v>
      </c>
      <c r="AH44" s="33">
        <v>229</v>
      </c>
      <c r="AI44" s="33">
        <v>229</v>
      </c>
      <c r="AJ44" s="33"/>
      <c r="AK44" s="33"/>
      <c r="AL44" s="44">
        <v>180</v>
      </c>
      <c r="AM44" s="33">
        <v>169</v>
      </c>
      <c r="AN44" s="44">
        <f t="shared" si="9"/>
        <v>11</v>
      </c>
      <c r="AO44" s="44">
        <v>40</v>
      </c>
      <c r="AP44" s="33">
        <v>29</v>
      </c>
      <c r="AQ44" s="33">
        <f>+AO44-AP44</f>
        <v>11</v>
      </c>
      <c r="AR44" s="33"/>
      <c r="AS44" s="33">
        <v>113</v>
      </c>
      <c r="AT44" s="33">
        <v>82</v>
      </c>
      <c r="AU44" s="33">
        <v>15</v>
      </c>
      <c r="AV44" s="33"/>
      <c r="AW44" s="33">
        <v>5</v>
      </c>
      <c r="AX44" s="33"/>
      <c r="AY44" s="33"/>
      <c r="AZ44" s="33"/>
      <c r="BA44" s="33">
        <v>222</v>
      </c>
      <c r="BB44" s="33">
        <v>222</v>
      </c>
      <c r="BC44" s="33"/>
      <c r="BD44" s="33"/>
      <c r="BE44" s="44">
        <v>174</v>
      </c>
      <c r="BF44" s="33">
        <v>164</v>
      </c>
      <c r="BG44" s="44">
        <v>10</v>
      </c>
      <c r="BH44" s="33">
        <v>41</v>
      </c>
      <c r="BI44" s="33">
        <v>29</v>
      </c>
      <c r="BJ44" s="33">
        <v>12</v>
      </c>
      <c r="BK44" s="33"/>
      <c r="BL44" s="33">
        <v>111</v>
      </c>
      <c r="BM44" s="33">
        <v>81</v>
      </c>
      <c r="BN44" s="33">
        <v>16</v>
      </c>
      <c r="BO44" s="33"/>
      <c r="BP44" s="33">
        <v>5</v>
      </c>
      <c r="BQ44" s="33"/>
      <c r="BR44" s="33"/>
      <c r="BS44" s="33"/>
      <c r="BT44" s="33">
        <f>32+19+9+3+4+3</f>
        <v>70</v>
      </c>
      <c r="BU44" s="33">
        <f>20+12</f>
        <v>32</v>
      </c>
      <c r="BV44" s="33">
        <f>9+10</f>
        <v>19</v>
      </c>
      <c r="BW44" s="33">
        <f>2+2</f>
        <v>4</v>
      </c>
      <c r="BX44" s="33"/>
      <c r="BY44" s="33">
        <v>3</v>
      </c>
      <c r="BZ44" s="33"/>
      <c r="CA44" s="33"/>
      <c r="CB44" s="33"/>
      <c r="CC44" s="33"/>
      <c r="CD44" s="33"/>
      <c r="CE44" s="33"/>
      <c r="CF44" s="33"/>
      <c r="CG44" s="33"/>
      <c r="CH44" s="33"/>
      <c r="CI44" s="33"/>
      <c r="CJ44" s="33"/>
      <c r="CK44" s="33"/>
      <c r="CL44" s="33"/>
      <c r="CM44" s="33"/>
      <c r="CN44" s="35"/>
      <c r="CO44" s="35"/>
      <c r="CP44" s="35"/>
      <c r="CQ44" s="35"/>
      <c r="CR44" s="35"/>
      <c r="CS44" s="35"/>
      <c r="CT44" s="35"/>
      <c r="CU44" s="35"/>
      <c r="CV44" s="35"/>
      <c r="CW44" s="35"/>
      <c r="CX44" s="35"/>
      <c r="CY44" s="35"/>
    </row>
    <row r="45" spans="1:103" s="29" customFormat="1" ht="17" customHeight="1" x14ac:dyDescent="0.2">
      <c r="A45" s="58">
        <v>38</v>
      </c>
      <c r="B45" s="30" t="s">
        <v>1430</v>
      </c>
      <c r="C45" s="30" t="s">
        <v>79</v>
      </c>
      <c r="D45" s="31" t="s">
        <v>128</v>
      </c>
      <c r="E45" s="31"/>
      <c r="F45" s="31">
        <v>2001</v>
      </c>
      <c r="G45" s="32" t="s">
        <v>222</v>
      </c>
      <c r="H45" s="41" t="s">
        <v>742</v>
      </c>
      <c r="I45" s="31" t="s">
        <v>8</v>
      </c>
      <c r="J45" s="32" t="s">
        <v>38</v>
      </c>
      <c r="K45" s="32" t="s">
        <v>1473</v>
      </c>
      <c r="L45" s="31" t="s">
        <v>31</v>
      </c>
      <c r="M45" s="31" t="s">
        <v>333</v>
      </c>
      <c r="N45" s="31" t="s">
        <v>201</v>
      </c>
      <c r="O45" s="33" t="s">
        <v>404</v>
      </c>
      <c r="P45" s="31" t="s">
        <v>285</v>
      </c>
      <c r="Q45" s="33" t="s">
        <v>313</v>
      </c>
      <c r="R45" s="50" t="s">
        <v>756</v>
      </c>
      <c r="S45" s="31" t="s">
        <v>40</v>
      </c>
      <c r="T45" s="31" t="s">
        <v>240</v>
      </c>
      <c r="U45" s="31">
        <v>10</v>
      </c>
      <c r="V45" s="57">
        <f t="shared" si="1"/>
        <v>10</v>
      </c>
      <c r="W45" s="57" t="str">
        <f t="shared" si="5"/>
        <v>L</v>
      </c>
      <c r="X45" s="31" t="s">
        <v>13</v>
      </c>
      <c r="Y45" s="31" t="s">
        <v>14</v>
      </c>
      <c r="Z45" s="31" t="s">
        <v>54</v>
      </c>
      <c r="AA45" s="31" t="s">
        <v>579</v>
      </c>
      <c r="AB45" s="31">
        <v>10</v>
      </c>
      <c r="AC45" s="15">
        <f t="shared" si="3"/>
        <v>10</v>
      </c>
      <c r="AD45" s="15" t="str">
        <f t="shared" si="4"/>
        <v>L</v>
      </c>
      <c r="AE45" s="31" t="s">
        <v>16</v>
      </c>
      <c r="AF45" s="31" t="s">
        <v>14</v>
      </c>
      <c r="AG45" s="33">
        <f>224+222</f>
        <v>446</v>
      </c>
      <c r="AH45" s="33">
        <v>224</v>
      </c>
      <c r="AI45" s="33">
        <v>224</v>
      </c>
      <c r="AJ45" s="33"/>
      <c r="AK45" s="33"/>
      <c r="AL45" s="44">
        <v>177</v>
      </c>
      <c r="AM45" s="33">
        <v>167</v>
      </c>
      <c r="AN45" s="44">
        <f t="shared" si="9"/>
        <v>10</v>
      </c>
      <c r="AO45" s="44">
        <v>47</v>
      </c>
      <c r="AP45" s="33">
        <v>37</v>
      </c>
      <c r="AQ45" s="33">
        <f>+AO45-AP45</f>
        <v>10</v>
      </c>
      <c r="AR45" s="33"/>
      <c r="AS45" s="33">
        <v>114</v>
      </c>
      <c r="AT45" s="33">
        <v>84</v>
      </c>
      <c r="AU45" s="33">
        <v>17</v>
      </c>
      <c r="AV45" s="33"/>
      <c r="AW45" s="33">
        <v>2</v>
      </c>
      <c r="AX45" s="33"/>
      <c r="AY45" s="33"/>
      <c r="AZ45" s="33"/>
      <c r="BA45" s="33">
        <v>222</v>
      </c>
      <c r="BB45" s="33">
        <v>222</v>
      </c>
      <c r="BC45" s="33"/>
      <c r="BD45" s="33"/>
      <c r="BE45" s="44">
        <v>174</v>
      </c>
      <c r="BF45" s="33">
        <v>164</v>
      </c>
      <c r="BG45" s="44">
        <v>10</v>
      </c>
      <c r="BH45" s="33">
        <v>41</v>
      </c>
      <c r="BI45" s="33">
        <v>29</v>
      </c>
      <c r="BJ45" s="33">
        <v>12</v>
      </c>
      <c r="BK45" s="33"/>
      <c r="BL45" s="33">
        <v>111</v>
      </c>
      <c r="BM45" s="33">
        <v>81</v>
      </c>
      <c r="BN45" s="33">
        <v>16</v>
      </c>
      <c r="BO45" s="33"/>
      <c r="BP45" s="33">
        <v>5</v>
      </c>
      <c r="BQ45" s="33"/>
      <c r="BR45" s="33"/>
      <c r="BS45" s="33"/>
      <c r="BT45" s="33">
        <f>12+10+6+2+2+3+21+13+4+5+2+2</f>
        <v>82</v>
      </c>
      <c r="BU45" s="33">
        <f>21+12</f>
        <v>33</v>
      </c>
      <c r="BV45" s="33">
        <f>13+10</f>
        <v>23</v>
      </c>
      <c r="BW45" s="33">
        <f>2+2</f>
        <v>4</v>
      </c>
      <c r="BX45" s="33"/>
      <c r="BY45" s="33">
        <v>5</v>
      </c>
      <c r="BZ45" s="33"/>
      <c r="CA45" s="33"/>
      <c r="CB45" s="33"/>
      <c r="CC45" s="33"/>
      <c r="CD45" s="33"/>
      <c r="CE45" s="33"/>
      <c r="CF45" s="33"/>
      <c r="CG45" s="33"/>
      <c r="CH45" s="33"/>
      <c r="CI45" s="33"/>
      <c r="CJ45" s="33"/>
      <c r="CK45" s="33"/>
      <c r="CL45" s="33"/>
      <c r="CM45" s="33"/>
      <c r="CN45" s="35"/>
      <c r="CO45" s="35"/>
      <c r="CP45" s="35"/>
      <c r="CQ45" s="35"/>
      <c r="CR45" s="35"/>
      <c r="CS45" s="35"/>
      <c r="CT45" s="35"/>
      <c r="CU45" s="35"/>
      <c r="CV45" s="35"/>
      <c r="CW45" s="35"/>
      <c r="CX45" s="35"/>
      <c r="CY45" s="35"/>
    </row>
    <row r="46" spans="1:103" s="19" customFormat="1" x14ac:dyDescent="0.2">
      <c r="A46" s="58">
        <v>39</v>
      </c>
      <c r="B46" s="14" t="s">
        <v>1429</v>
      </c>
      <c r="C46" s="14" t="s">
        <v>79</v>
      </c>
      <c r="D46" s="15" t="s">
        <v>269</v>
      </c>
      <c r="E46" s="15"/>
      <c r="F46" s="15">
        <v>2007</v>
      </c>
      <c r="G46" s="16" t="s">
        <v>769</v>
      </c>
      <c r="H46" s="24" t="s">
        <v>768</v>
      </c>
      <c r="I46" s="15" t="s">
        <v>8</v>
      </c>
      <c r="J46" s="17" t="s">
        <v>109</v>
      </c>
      <c r="K46" s="17" t="s">
        <v>1471</v>
      </c>
      <c r="L46" s="15" t="s">
        <v>31</v>
      </c>
      <c r="M46" s="15" t="s">
        <v>11</v>
      </c>
      <c r="N46" s="15" t="s">
        <v>75</v>
      </c>
      <c r="O46" s="15" t="s">
        <v>455</v>
      </c>
      <c r="P46" s="15" t="s">
        <v>285</v>
      </c>
      <c r="Q46" s="17" t="s">
        <v>313</v>
      </c>
      <c r="R46" s="16" t="s">
        <v>314</v>
      </c>
      <c r="S46" s="15" t="s">
        <v>23</v>
      </c>
      <c r="T46" s="15" t="s">
        <v>782</v>
      </c>
      <c r="U46" s="15">
        <v>3</v>
      </c>
      <c r="V46" s="57">
        <f t="shared" si="1"/>
        <v>3</v>
      </c>
      <c r="W46" s="57" t="str">
        <f t="shared" si="5"/>
        <v>S</v>
      </c>
      <c r="X46" s="15" t="s">
        <v>131</v>
      </c>
      <c r="Y46" s="15" t="s">
        <v>388</v>
      </c>
      <c r="Z46" s="31" t="s">
        <v>23</v>
      </c>
      <c r="AA46" s="15" t="s">
        <v>783</v>
      </c>
      <c r="AB46" s="15">
        <v>3</v>
      </c>
      <c r="AC46" s="15">
        <f t="shared" si="3"/>
        <v>3</v>
      </c>
      <c r="AD46" s="15" t="str">
        <f t="shared" si="4"/>
        <v>S</v>
      </c>
      <c r="AE46" s="15" t="s">
        <v>131</v>
      </c>
      <c r="AF46" s="15" t="s">
        <v>388</v>
      </c>
      <c r="AG46" s="17">
        <v>900</v>
      </c>
      <c r="AH46" s="17">
        <v>450</v>
      </c>
      <c r="AI46" s="17">
        <v>437</v>
      </c>
      <c r="AJ46" s="17">
        <v>411</v>
      </c>
      <c r="AK46" s="17">
        <f>+AI46-AJ46</f>
        <v>26</v>
      </c>
      <c r="AL46" s="47">
        <v>424</v>
      </c>
      <c r="AM46" s="17">
        <v>411</v>
      </c>
      <c r="AN46" s="47">
        <f t="shared" si="9"/>
        <v>13</v>
      </c>
      <c r="AO46" s="47"/>
      <c r="AP46" s="17"/>
      <c r="AQ46" s="17"/>
      <c r="AR46" s="17">
        <v>6</v>
      </c>
      <c r="AS46" s="17"/>
      <c r="AT46" s="17"/>
      <c r="AU46" s="17"/>
      <c r="AV46" s="17"/>
      <c r="AW46" s="17">
        <v>0</v>
      </c>
      <c r="AX46" s="17"/>
      <c r="AY46" s="17"/>
      <c r="AZ46" s="17"/>
      <c r="BA46" s="17">
        <v>450</v>
      </c>
      <c r="BB46" s="17">
        <v>439</v>
      </c>
      <c r="BC46" s="17">
        <v>404</v>
      </c>
      <c r="BD46" s="17">
        <v>35</v>
      </c>
      <c r="BE46" s="47">
        <v>421</v>
      </c>
      <c r="BF46" s="17">
        <v>404</v>
      </c>
      <c r="BG46" s="47">
        <f>+BE46-BF46</f>
        <v>17</v>
      </c>
      <c r="BH46" s="17"/>
      <c r="BI46" s="17"/>
      <c r="BJ46" s="17"/>
      <c r="BK46" s="17">
        <v>10</v>
      </c>
      <c r="BL46" s="17"/>
      <c r="BM46" s="17"/>
      <c r="BN46" s="17"/>
      <c r="BO46" s="17"/>
      <c r="BP46" s="17">
        <v>0</v>
      </c>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8"/>
      <c r="CO46" s="18"/>
      <c r="CP46" s="18"/>
      <c r="CQ46" s="18"/>
      <c r="CR46" s="18"/>
      <c r="CS46" s="18"/>
      <c r="CT46" s="18"/>
      <c r="CU46" s="18"/>
      <c r="CV46" s="18"/>
      <c r="CW46" s="18"/>
      <c r="CX46" s="18"/>
      <c r="CY46" s="18"/>
    </row>
    <row r="47" spans="1:103" s="19" customFormat="1" x14ac:dyDescent="0.2">
      <c r="A47" s="58">
        <v>40</v>
      </c>
      <c r="B47" s="14" t="s">
        <v>1429</v>
      </c>
      <c r="C47" s="14" t="s">
        <v>79</v>
      </c>
      <c r="D47" s="15" t="s">
        <v>269</v>
      </c>
      <c r="E47" s="15"/>
      <c r="F47" s="15">
        <v>2011</v>
      </c>
      <c r="G47" s="16" t="s">
        <v>770</v>
      </c>
      <c r="H47" s="24" t="s">
        <v>771</v>
      </c>
      <c r="I47" s="15" t="s">
        <v>8</v>
      </c>
      <c r="J47" s="17" t="s">
        <v>109</v>
      </c>
      <c r="K47" s="17" t="s">
        <v>1471</v>
      </c>
      <c r="L47" s="15" t="s">
        <v>31</v>
      </c>
      <c r="M47" s="15" t="s">
        <v>11</v>
      </c>
      <c r="N47" s="15" t="s">
        <v>75</v>
      </c>
      <c r="O47" s="15" t="s">
        <v>455</v>
      </c>
      <c r="P47" s="15" t="s">
        <v>285</v>
      </c>
      <c r="Q47" s="17" t="s">
        <v>313</v>
      </c>
      <c r="R47" s="16" t="s">
        <v>314</v>
      </c>
      <c r="S47" s="15" t="s">
        <v>23</v>
      </c>
      <c r="T47" s="15" t="s">
        <v>283</v>
      </c>
      <c r="U47" s="15">
        <v>3</v>
      </c>
      <c r="V47" s="57">
        <f t="shared" si="1"/>
        <v>3</v>
      </c>
      <c r="W47" s="57" t="str">
        <f t="shared" si="5"/>
        <v>S</v>
      </c>
      <c r="X47" s="15" t="s">
        <v>131</v>
      </c>
      <c r="Y47" s="15" t="s">
        <v>388</v>
      </c>
      <c r="Z47" s="31" t="s">
        <v>282</v>
      </c>
      <c r="AA47" s="15"/>
      <c r="AB47" s="15">
        <v>3</v>
      </c>
      <c r="AC47" s="15">
        <f t="shared" si="3"/>
        <v>3</v>
      </c>
      <c r="AD47" s="15" t="str">
        <f t="shared" si="4"/>
        <v>S</v>
      </c>
      <c r="AE47" s="15"/>
      <c r="AF47" s="15"/>
      <c r="AG47" s="17">
        <v>900</v>
      </c>
      <c r="AH47" s="17">
        <v>450</v>
      </c>
      <c r="AI47" s="17">
        <v>450</v>
      </c>
      <c r="AJ47" s="17">
        <v>400</v>
      </c>
      <c r="AK47" s="17">
        <f>+AI47-AJ47</f>
        <v>50</v>
      </c>
      <c r="AL47" s="47">
        <v>431</v>
      </c>
      <c r="AM47" s="17">
        <v>400</v>
      </c>
      <c r="AN47" s="47">
        <f t="shared" si="9"/>
        <v>31</v>
      </c>
      <c r="AO47" s="47"/>
      <c r="AP47" s="17"/>
      <c r="AQ47" s="17"/>
      <c r="AR47" s="17">
        <v>3</v>
      </c>
      <c r="AS47" s="17"/>
      <c r="AT47" s="17"/>
      <c r="AU47" s="17"/>
      <c r="AV47" s="17"/>
      <c r="AW47" s="17">
        <v>0</v>
      </c>
      <c r="AX47" s="17"/>
      <c r="AY47" s="17"/>
      <c r="AZ47" s="17"/>
      <c r="BA47" s="17">
        <v>450</v>
      </c>
      <c r="BB47" s="17">
        <v>450</v>
      </c>
      <c r="BC47" s="17">
        <v>405</v>
      </c>
      <c r="BD47" s="17">
        <v>45</v>
      </c>
      <c r="BE47" s="47">
        <v>442</v>
      </c>
      <c r="BF47" s="17"/>
      <c r="BG47" s="47">
        <v>37</v>
      </c>
      <c r="BH47" s="17"/>
      <c r="BI47" s="17"/>
      <c r="BJ47" s="17"/>
      <c r="BK47" s="17">
        <v>5</v>
      </c>
      <c r="BL47" s="17"/>
      <c r="BM47" s="17"/>
      <c r="BN47" s="17"/>
      <c r="BO47" s="17"/>
      <c r="BP47" s="17">
        <v>0</v>
      </c>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8"/>
      <c r="CO47" s="18"/>
      <c r="CP47" s="18"/>
      <c r="CQ47" s="18"/>
      <c r="CR47" s="18"/>
      <c r="CS47" s="18"/>
      <c r="CT47" s="18"/>
      <c r="CU47" s="18"/>
      <c r="CV47" s="18"/>
      <c r="CW47" s="18"/>
      <c r="CX47" s="18"/>
      <c r="CY47" s="18"/>
    </row>
    <row r="48" spans="1:103" s="19" customFormat="1" x14ac:dyDescent="0.2">
      <c r="A48" s="58">
        <v>41</v>
      </c>
      <c r="B48" s="14" t="s">
        <v>1429</v>
      </c>
      <c r="C48" s="14" t="s">
        <v>79</v>
      </c>
      <c r="D48" s="15" t="s">
        <v>1001</v>
      </c>
      <c r="E48" s="15" t="s">
        <v>384</v>
      </c>
      <c r="F48" s="15">
        <v>2004</v>
      </c>
      <c r="G48" s="16" t="s">
        <v>292</v>
      </c>
      <c r="H48" s="24" t="s">
        <v>427</v>
      </c>
      <c r="I48" s="15" t="s">
        <v>8</v>
      </c>
      <c r="J48" s="17" t="s">
        <v>76</v>
      </c>
      <c r="K48" s="17" t="s">
        <v>1471</v>
      </c>
      <c r="L48" s="15" t="s">
        <v>31</v>
      </c>
      <c r="M48" s="15" t="s">
        <v>11</v>
      </c>
      <c r="N48" s="15" t="s">
        <v>75</v>
      </c>
      <c r="O48" s="15" t="s">
        <v>455</v>
      </c>
      <c r="P48" s="15" t="s">
        <v>285</v>
      </c>
      <c r="Q48" s="17" t="s">
        <v>313</v>
      </c>
      <c r="R48" s="16" t="s">
        <v>387</v>
      </c>
      <c r="S48" s="15" t="s">
        <v>23</v>
      </c>
      <c r="T48" s="15" t="s">
        <v>784</v>
      </c>
      <c r="U48" s="15">
        <v>3</v>
      </c>
      <c r="V48" s="57">
        <f t="shared" si="1"/>
        <v>3</v>
      </c>
      <c r="W48" s="57" t="str">
        <f t="shared" si="5"/>
        <v>S</v>
      </c>
      <c r="X48" s="15" t="s">
        <v>131</v>
      </c>
      <c r="Y48" s="15" t="s">
        <v>388</v>
      </c>
      <c r="Z48" s="31" t="s">
        <v>23</v>
      </c>
      <c r="AA48" s="15" t="s">
        <v>784</v>
      </c>
      <c r="AB48" s="15">
        <v>5</v>
      </c>
      <c r="AC48" s="15">
        <f t="shared" si="3"/>
        <v>5</v>
      </c>
      <c r="AD48" s="15" t="str">
        <f t="shared" si="4"/>
        <v>S</v>
      </c>
      <c r="AE48" s="15" t="s">
        <v>131</v>
      </c>
      <c r="AF48" s="15" t="s">
        <v>388</v>
      </c>
      <c r="AG48" s="17">
        <v>2188</v>
      </c>
      <c r="AH48" s="17">
        <v>1095</v>
      </c>
      <c r="AI48" s="17">
        <v>1095</v>
      </c>
      <c r="AJ48" s="17">
        <v>980</v>
      </c>
      <c r="AK48" s="17">
        <f>+AI48-AJ48</f>
        <v>115</v>
      </c>
      <c r="AL48" s="47">
        <v>1033</v>
      </c>
      <c r="AM48" s="17">
        <v>980</v>
      </c>
      <c r="AN48" s="47">
        <v>53</v>
      </c>
      <c r="AO48" s="47"/>
      <c r="AP48" s="17"/>
      <c r="AQ48" s="17"/>
      <c r="AR48" s="17">
        <v>32</v>
      </c>
      <c r="AS48" s="17"/>
      <c r="AT48" s="17"/>
      <c r="AU48" s="17">
        <v>0</v>
      </c>
      <c r="AV48" s="17">
        <v>18</v>
      </c>
      <c r="AW48" s="17">
        <v>0</v>
      </c>
      <c r="AX48" s="17"/>
      <c r="AY48" s="17"/>
      <c r="AZ48" s="17"/>
      <c r="BA48" s="17">
        <v>1093</v>
      </c>
      <c r="BB48" s="17">
        <v>1093</v>
      </c>
      <c r="BC48" s="17">
        <v>983</v>
      </c>
      <c r="BD48" s="17">
        <v>110</v>
      </c>
      <c r="BE48" s="47">
        <v>1026</v>
      </c>
      <c r="BF48" s="17">
        <v>983</v>
      </c>
      <c r="BG48" s="47">
        <v>43</v>
      </c>
      <c r="BH48" s="17"/>
      <c r="BI48" s="17"/>
      <c r="BJ48" s="17"/>
      <c r="BK48" s="17">
        <v>29</v>
      </c>
      <c r="BL48" s="17"/>
      <c r="BM48" s="17"/>
      <c r="BN48" s="17">
        <v>0</v>
      </c>
      <c r="BO48" s="17">
        <v>23</v>
      </c>
      <c r="BP48" s="17">
        <v>0</v>
      </c>
      <c r="BQ48" s="17"/>
      <c r="BR48" s="17"/>
      <c r="BS48" s="17"/>
      <c r="BT48" s="17">
        <v>2192</v>
      </c>
      <c r="BU48" s="17">
        <v>878</v>
      </c>
      <c r="BV48" s="17">
        <v>496</v>
      </c>
      <c r="BW48" s="17"/>
      <c r="BX48" s="17"/>
      <c r="BY48" s="17"/>
      <c r="BZ48" s="17"/>
      <c r="CA48" s="17"/>
      <c r="CB48" s="17"/>
      <c r="CC48" s="27"/>
      <c r="CD48" s="17"/>
      <c r="CE48" s="17"/>
      <c r="CF48" s="17"/>
      <c r="CG48" s="17"/>
      <c r="CH48" s="17"/>
      <c r="CI48" s="17"/>
      <c r="CJ48" s="17"/>
      <c r="CK48" s="17"/>
      <c r="CL48" s="17"/>
      <c r="CM48" s="17"/>
      <c r="CN48" s="18"/>
      <c r="CO48" s="18"/>
      <c r="CP48" s="18"/>
      <c r="CQ48" s="18"/>
      <c r="CR48" s="18"/>
      <c r="CS48" s="18"/>
      <c r="CT48" s="18"/>
      <c r="CU48" s="18"/>
      <c r="CV48" s="18"/>
      <c r="CW48" s="18"/>
      <c r="CX48" s="18"/>
      <c r="CY48" s="18"/>
    </row>
    <row r="49" spans="1:103" s="19" customFormat="1" x14ac:dyDescent="0.2">
      <c r="A49" s="58">
        <v>42</v>
      </c>
      <c r="B49" s="14" t="s">
        <v>1429</v>
      </c>
      <c r="C49" s="14" t="s">
        <v>79</v>
      </c>
      <c r="D49" s="15" t="s">
        <v>766</v>
      </c>
      <c r="E49" s="15" t="s">
        <v>384</v>
      </c>
      <c r="F49" s="15">
        <v>2002</v>
      </c>
      <c r="G49" s="16" t="s">
        <v>250</v>
      </c>
      <c r="H49" s="24" t="s">
        <v>781</v>
      </c>
      <c r="I49" s="15" t="s">
        <v>8</v>
      </c>
      <c r="J49" s="17" t="s">
        <v>109</v>
      </c>
      <c r="K49" s="17" t="s">
        <v>1471</v>
      </c>
      <c r="L49" s="15" t="s">
        <v>31</v>
      </c>
      <c r="M49" s="15" t="s">
        <v>11</v>
      </c>
      <c r="N49" s="15" t="s">
        <v>75</v>
      </c>
      <c r="O49" s="15" t="s">
        <v>455</v>
      </c>
      <c r="P49" s="15" t="s">
        <v>285</v>
      </c>
      <c r="Q49" s="17" t="s">
        <v>313</v>
      </c>
      <c r="R49" s="16" t="s">
        <v>456</v>
      </c>
      <c r="S49" s="15" t="s">
        <v>23</v>
      </c>
      <c r="T49" s="15" t="s">
        <v>113</v>
      </c>
      <c r="U49" s="15">
        <v>3</v>
      </c>
      <c r="V49" s="57">
        <f t="shared" si="1"/>
        <v>3</v>
      </c>
      <c r="W49" s="57" t="str">
        <f t="shared" si="5"/>
        <v>S</v>
      </c>
      <c r="X49" s="15" t="s">
        <v>131</v>
      </c>
      <c r="Y49" s="15" t="s">
        <v>388</v>
      </c>
      <c r="Z49" s="31" t="s">
        <v>23</v>
      </c>
      <c r="AA49" s="15" t="s">
        <v>113</v>
      </c>
      <c r="AB49" s="15">
        <v>5</v>
      </c>
      <c r="AC49" s="15">
        <f t="shared" si="3"/>
        <v>5</v>
      </c>
      <c r="AD49" s="15" t="str">
        <f t="shared" si="4"/>
        <v>S</v>
      </c>
      <c r="AE49" s="15" t="s">
        <v>131</v>
      </c>
      <c r="AF49" s="15" t="s">
        <v>388</v>
      </c>
      <c r="AG49" s="17">
        <f>1000+1000</f>
        <v>2000</v>
      </c>
      <c r="AH49" s="17">
        <v>1000</v>
      </c>
      <c r="AI49" s="17">
        <v>1000</v>
      </c>
      <c r="AJ49" s="17">
        <v>791</v>
      </c>
      <c r="AK49" s="17">
        <f>+AI49-AJ49</f>
        <v>209</v>
      </c>
      <c r="AL49" s="47">
        <v>980</v>
      </c>
      <c r="AM49" s="17">
        <v>791</v>
      </c>
      <c r="AN49" s="47">
        <f>127+50</f>
        <v>177</v>
      </c>
      <c r="AO49" s="47"/>
      <c r="AP49" s="17"/>
      <c r="AQ49" s="17"/>
      <c r="AR49" s="17">
        <v>12</v>
      </c>
      <c r="AS49" s="17">
        <v>43</v>
      </c>
      <c r="AT49" s="17"/>
      <c r="AU49" s="17">
        <v>0</v>
      </c>
      <c r="AV49" s="17"/>
      <c r="AW49" s="17">
        <v>0</v>
      </c>
      <c r="AX49" s="17"/>
      <c r="AY49" s="17"/>
      <c r="AZ49" s="17"/>
      <c r="BA49" s="17">
        <v>1000</v>
      </c>
      <c r="BB49" s="17">
        <v>1000</v>
      </c>
      <c r="BC49" s="17">
        <v>798</v>
      </c>
      <c r="BD49" s="17">
        <v>202</v>
      </c>
      <c r="BE49" s="47">
        <v>973</v>
      </c>
      <c r="BF49" s="17">
        <v>798</v>
      </c>
      <c r="BG49" s="47">
        <f>116+45</f>
        <v>161</v>
      </c>
      <c r="BH49" s="17"/>
      <c r="BI49" s="17"/>
      <c r="BJ49" s="17"/>
      <c r="BK49" s="17">
        <v>13</v>
      </c>
      <c r="BL49" s="17">
        <v>57</v>
      </c>
      <c r="BM49" s="17"/>
      <c r="BN49" s="17">
        <v>0</v>
      </c>
      <c r="BO49" s="17"/>
      <c r="BP49" s="17">
        <v>1</v>
      </c>
      <c r="BQ49" s="17"/>
      <c r="BR49" s="17"/>
      <c r="BS49" s="17"/>
      <c r="BT49" s="17"/>
      <c r="BU49" s="17"/>
      <c r="BV49" s="17"/>
      <c r="BW49" s="17"/>
      <c r="BX49" s="17"/>
      <c r="BY49" s="17"/>
      <c r="BZ49" s="17"/>
      <c r="CA49" s="17"/>
      <c r="CB49" s="17"/>
      <c r="CC49" s="17" t="s">
        <v>457</v>
      </c>
      <c r="CD49" s="17"/>
      <c r="CE49" s="17"/>
      <c r="CF49" s="17"/>
      <c r="CG49" s="17"/>
      <c r="CH49" s="17"/>
      <c r="CI49" s="17"/>
      <c r="CJ49" s="17"/>
      <c r="CK49" s="17"/>
      <c r="CL49" s="17"/>
      <c r="CM49" s="17"/>
      <c r="CN49" s="18"/>
      <c r="CO49" s="18"/>
      <c r="CP49" s="18"/>
      <c r="CQ49" s="18"/>
      <c r="CR49" s="18"/>
      <c r="CS49" s="18"/>
      <c r="CT49" s="18"/>
      <c r="CU49" s="18"/>
      <c r="CV49" s="18"/>
      <c r="CW49" s="18"/>
      <c r="CX49" s="18"/>
      <c r="CY49" s="18"/>
    </row>
    <row r="50" spans="1:103" s="19" customFormat="1" x14ac:dyDescent="0.2">
      <c r="A50" s="58">
        <v>43</v>
      </c>
      <c r="B50" s="14" t="s">
        <v>1429</v>
      </c>
      <c r="C50" s="14" t="s">
        <v>79</v>
      </c>
      <c r="D50" s="15" t="s">
        <v>244</v>
      </c>
      <c r="E50" s="15"/>
      <c r="F50" s="15">
        <v>2008</v>
      </c>
      <c r="G50" s="16" t="s">
        <v>245</v>
      </c>
      <c r="H50" s="24" t="s">
        <v>246</v>
      </c>
      <c r="I50" s="15" t="s">
        <v>8</v>
      </c>
      <c r="J50" s="17" t="s">
        <v>76</v>
      </c>
      <c r="K50" s="17" t="s">
        <v>1471</v>
      </c>
      <c r="L50" s="15" t="s">
        <v>31</v>
      </c>
      <c r="M50" s="15" t="s">
        <v>11</v>
      </c>
      <c r="N50" s="15" t="s">
        <v>75</v>
      </c>
      <c r="O50" s="15" t="s">
        <v>455</v>
      </c>
      <c r="P50" s="15" t="s">
        <v>285</v>
      </c>
      <c r="Q50" s="17" t="s">
        <v>308</v>
      </c>
      <c r="R50" s="16" t="s">
        <v>315</v>
      </c>
      <c r="S50" s="15" t="s">
        <v>23</v>
      </c>
      <c r="T50" s="16" t="s">
        <v>786</v>
      </c>
      <c r="U50" s="15">
        <v>3</v>
      </c>
      <c r="V50" s="57">
        <f t="shared" si="1"/>
        <v>3</v>
      </c>
      <c r="W50" s="57" t="str">
        <f t="shared" si="5"/>
        <v>S</v>
      </c>
      <c r="X50" s="15" t="s">
        <v>131</v>
      </c>
      <c r="Y50" s="15" t="s">
        <v>388</v>
      </c>
      <c r="Z50" s="31" t="s">
        <v>194</v>
      </c>
      <c r="AA50" s="16" t="s">
        <v>785</v>
      </c>
      <c r="AB50" s="15">
        <v>5</v>
      </c>
      <c r="AC50" s="15">
        <f t="shared" si="3"/>
        <v>5</v>
      </c>
      <c r="AD50" s="15" t="str">
        <f t="shared" si="4"/>
        <v>S</v>
      </c>
      <c r="AE50" s="15" t="s">
        <v>772</v>
      </c>
      <c r="AF50" s="15" t="s">
        <v>388</v>
      </c>
      <c r="AG50" s="17">
        <v>2009</v>
      </c>
      <c r="AH50" s="17">
        <v>993</v>
      </c>
      <c r="AI50" s="17">
        <v>993</v>
      </c>
      <c r="AJ50" s="17">
        <f>+AI50-AK50</f>
        <v>856</v>
      </c>
      <c r="AK50" s="17">
        <v>137</v>
      </c>
      <c r="AL50" s="47">
        <v>993</v>
      </c>
      <c r="AM50" s="17">
        <v>856</v>
      </c>
      <c r="AN50" s="47">
        <v>137</v>
      </c>
      <c r="AO50" s="47"/>
      <c r="AP50" s="17"/>
      <c r="AQ50" s="17"/>
      <c r="AR50" s="17">
        <v>34</v>
      </c>
      <c r="AS50" s="17">
        <v>38</v>
      </c>
      <c r="AT50" s="17"/>
      <c r="AU50" s="17">
        <v>0</v>
      </c>
      <c r="AV50" s="17">
        <v>0</v>
      </c>
      <c r="AW50" s="17">
        <v>0</v>
      </c>
      <c r="AX50" s="17"/>
      <c r="AY50" s="17"/>
      <c r="AZ50" s="17"/>
      <c r="BA50" s="17">
        <v>1016</v>
      </c>
      <c r="BB50" s="17">
        <v>1016</v>
      </c>
      <c r="BC50" s="17">
        <f>+BB50-BD50</f>
        <v>919</v>
      </c>
      <c r="BD50" s="17">
        <v>97</v>
      </c>
      <c r="BE50" s="47">
        <v>1016</v>
      </c>
      <c r="BF50" s="17">
        <v>919</v>
      </c>
      <c r="BG50" s="47">
        <v>97</v>
      </c>
      <c r="BH50" s="17"/>
      <c r="BI50" s="17"/>
      <c r="BJ50" s="17"/>
      <c r="BK50" s="17">
        <v>39</v>
      </c>
      <c r="BL50" s="17"/>
      <c r="BM50" s="17">
        <v>12</v>
      </c>
      <c r="BN50" s="17">
        <v>0</v>
      </c>
      <c r="BO50" s="17">
        <v>1</v>
      </c>
      <c r="BP50" s="17">
        <v>0</v>
      </c>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8"/>
      <c r="CO50" s="18"/>
      <c r="CP50" s="18"/>
      <c r="CQ50" s="18"/>
      <c r="CR50" s="18"/>
      <c r="CS50" s="18"/>
      <c r="CT50" s="18"/>
      <c r="CU50" s="18"/>
      <c r="CV50" s="18"/>
      <c r="CW50" s="18"/>
      <c r="CX50" s="18"/>
      <c r="CY50" s="18"/>
    </row>
    <row r="51" spans="1:103" s="25" customFormat="1" x14ac:dyDescent="0.2">
      <c r="A51" s="58">
        <v>44</v>
      </c>
      <c r="B51" s="14" t="s">
        <v>1429</v>
      </c>
      <c r="C51" s="14" t="s">
        <v>79</v>
      </c>
      <c r="D51" s="15" t="s">
        <v>767</v>
      </c>
      <c r="E51" s="15"/>
      <c r="F51" s="15">
        <v>2005</v>
      </c>
      <c r="G51" s="16" t="s">
        <v>777</v>
      </c>
      <c r="H51" s="24" t="s">
        <v>778</v>
      </c>
      <c r="I51" s="15" t="s">
        <v>8</v>
      </c>
      <c r="J51" s="17" t="s">
        <v>109</v>
      </c>
      <c r="K51" s="17" t="s">
        <v>1471</v>
      </c>
      <c r="L51" s="15" t="s">
        <v>31</v>
      </c>
      <c r="M51" s="15" t="s">
        <v>11</v>
      </c>
      <c r="N51" s="15" t="s">
        <v>75</v>
      </c>
      <c r="O51" s="15" t="s">
        <v>455</v>
      </c>
      <c r="P51" s="15" t="s">
        <v>285</v>
      </c>
      <c r="Q51" s="17" t="s">
        <v>313</v>
      </c>
      <c r="R51" s="16" t="s">
        <v>315</v>
      </c>
      <c r="S51" s="15" t="s">
        <v>194</v>
      </c>
      <c r="T51" s="16" t="s">
        <v>775</v>
      </c>
      <c r="U51" s="15">
        <v>5</v>
      </c>
      <c r="V51" s="57">
        <f t="shared" si="1"/>
        <v>5</v>
      </c>
      <c r="W51" s="57" t="str">
        <f t="shared" si="5"/>
        <v>S</v>
      </c>
      <c r="X51" s="15" t="s">
        <v>772</v>
      </c>
      <c r="Y51" s="15" t="s">
        <v>388</v>
      </c>
      <c r="Z51" s="31" t="s">
        <v>194</v>
      </c>
      <c r="AA51" s="15" t="s">
        <v>776</v>
      </c>
      <c r="AB51" s="15">
        <v>5</v>
      </c>
      <c r="AC51" s="15">
        <f t="shared" si="3"/>
        <v>5</v>
      </c>
      <c r="AD51" s="15" t="str">
        <f t="shared" si="4"/>
        <v>S</v>
      </c>
      <c r="AE51" s="15" t="s">
        <v>772</v>
      </c>
      <c r="AF51" s="15" t="s">
        <v>388</v>
      </c>
      <c r="AG51" s="17">
        <v>1143</v>
      </c>
      <c r="AH51" s="17">
        <v>583</v>
      </c>
      <c r="AI51" s="17">
        <v>578</v>
      </c>
      <c r="AJ51" s="17">
        <v>466</v>
      </c>
      <c r="AK51" s="17">
        <f>+AI51-AJ51</f>
        <v>112</v>
      </c>
      <c r="AL51" s="47">
        <v>578</v>
      </c>
      <c r="AM51" s="17">
        <v>466</v>
      </c>
      <c r="AN51" s="47">
        <f>+AL51-AM51</f>
        <v>112</v>
      </c>
      <c r="AO51" s="47"/>
      <c r="AP51" s="17"/>
      <c r="AQ51" s="17"/>
      <c r="AR51" s="17"/>
      <c r="AS51" s="17"/>
      <c r="AT51" s="17"/>
      <c r="AU51" s="17">
        <v>0</v>
      </c>
      <c r="AV51" s="17"/>
      <c r="AW51" s="17">
        <v>1</v>
      </c>
      <c r="AX51" s="17"/>
      <c r="AY51" s="17"/>
      <c r="AZ51" s="17"/>
      <c r="BA51" s="17">
        <v>560</v>
      </c>
      <c r="BB51" s="17">
        <v>556</v>
      </c>
      <c r="BC51" s="17">
        <v>438</v>
      </c>
      <c r="BD51" s="17">
        <v>118</v>
      </c>
      <c r="BE51" s="47">
        <v>556</v>
      </c>
      <c r="BF51" s="17">
        <v>438</v>
      </c>
      <c r="BG51" s="47">
        <f>+BE51-BF51</f>
        <v>118</v>
      </c>
      <c r="BH51" s="17"/>
      <c r="BI51" s="17"/>
      <c r="BJ51" s="17"/>
      <c r="BK51" s="17"/>
      <c r="BL51" s="17"/>
      <c r="BM51" s="17"/>
      <c r="BN51" s="17">
        <v>0</v>
      </c>
      <c r="BO51" s="17"/>
      <c r="BP51" s="17">
        <v>0</v>
      </c>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8"/>
      <c r="CO51" s="18"/>
      <c r="CP51" s="18"/>
      <c r="CQ51" s="18"/>
      <c r="CR51" s="18"/>
      <c r="CS51" s="18"/>
      <c r="CT51" s="18"/>
      <c r="CU51" s="18"/>
      <c r="CV51" s="18"/>
      <c r="CW51" s="18"/>
      <c r="CX51" s="18"/>
      <c r="CY51" s="18"/>
    </row>
    <row r="52" spans="1:103" s="25" customFormat="1" x14ac:dyDescent="0.2">
      <c r="A52" s="58">
        <v>45</v>
      </c>
      <c r="B52" s="14" t="s">
        <v>1429</v>
      </c>
      <c r="C52" s="14" t="s">
        <v>79</v>
      </c>
      <c r="D52" s="15" t="s">
        <v>252</v>
      </c>
      <c r="E52" s="15"/>
      <c r="F52" s="15">
        <v>2002</v>
      </c>
      <c r="G52" s="16" t="s">
        <v>251</v>
      </c>
      <c r="H52" s="24" t="s">
        <v>779</v>
      </c>
      <c r="I52" s="15" t="s">
        <v>8</v>
      </c>
      <c r="J52" s="17" t="s">
        <v>109</v>
      </c>
      <c r="K52" s="17" t="s">
        <v>1471</v>
      </c>
      <c r="L52" s="15" t="s">
        <v>31</v>
      </c>
      <c r="M52" s="15" t="s">
        <v>11</v>
      </c>
      <c r="N52" s="15" t="s">
        <v>75</v>
      </c>
      <c r="O52" s="16" t="s">
        <v>455</v>
      </c>
      <c r="P52" s="15" t="s">
        <v>285</v>
      </c>
      <c r="Q52" s="17" t="s">
        <v>313</v>
      </c>
      <c r="R52" s="16" t="s">
        <v>325</v>
      </c>
      <c r="S52" s="15" t="s">
        <v>194</v>
      </c>
      <c r="T52" s="15" t="s">
        <v>787</v>
      </c>
      <c r="U52" s="15">
        <v>7</v>
      </c>
      <c r="V52" s="57">
        <f t="shared" si="1"/>
        <v>7</v>
      </c>
      <c r="W52" s="57" t="str">
        <f t="shared" si="5"/>
        <v>L</v>
      </c>
      <c r="X52" s="15" t="s">
        <v>772</v>
      </c>
      <c r="Y52" s="15" t="s">
        <v>388</v>
      </c>
      <c r="Z52" s="31" t="s">
        <v>23</v>
      </c>
      <c r="AA52" s="15" t="s">
        <v>788</v>
      </c>
      <c r="AB52" s="15">
        <v>7</v>
      </c>
      <c r="AC52" s="15">
        <f t="shared" si="3"/>
        <v>7</v>
      </c>
      <c r="AD52" s="15" t="str">
        <f t="shared" si="4"/>
        <v>L</v>
      </c>
      <c r="AE52" s="15" t="s">
        <v>131</v>
      </c>
      <c r="AF52" s="15" t="s">
        <v>388</v>
      </c>
      <c r="AG52" s="17">
        <v>1471</v>
      </c>
      <c r="AH52" s="17">
        <v>741</v>
      </c>
      <c r="AI52" s="17">
        <v>734</v>
      </c>
      <c r="AJ52" s="47">
        <f>+AI52-AK52</f>
        <v>595.274</v>
      </c>
      <c r="AK52" s="47">
        <f>+AI52*0.189</f>
        <v>138.726</v>
      </c>
      <c r="AL52" s="47"/>
      <c r="AM52" s="17"/>
      <c r="AN52" s="47"/>
      <c r="AO52" s="47"/>
      <c r="AP52" s="17"/>
      <c r="AQ52" s="17"/>
      <c r="AR52" s="17"/>
      <c r="AS52" s="17"/>
      <c r="AT52" s="17"/>
      <c r="AU52" s="17"/>
      <c r="AV52" s="17"/>
      <c r="AW52" s="17">
        <v>1</v>
      </c>
      <c r="AX52" s="17"/>
      <c r="AY52" s="17"/>
      <c r="AZ52" s="17"/>
      <c r="BA52" s="17">
        <v>730</v>
      </c>
      <c r="BB52" s="17">
        <v>725</v>
      </c>
      <c r="BC52" s="17">
        <v>608</v>
      </c>
      <c r="BD52" s="17">
        <v>117</v>
      </c>
      <c r="BE52" s="47"/>
      <c r="BF52" s="17"/>
      <c r="BG52" s="47"/>
      <c r="BH52" s="17"/>
      <c r="BI52" s="17"/>
      <c r="BJ52" s="17"/>
      <c r="BK52" s="17"/>
      <c r="BL52" s="17"/>
      <c r="BM52" s="17"/>
      <c r="BN52" s="17"/>
      <c r="BO52" s="17"/>
      <c r="BP52" s="17">
        <v>0</v>
      </c>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8"/>
      <c r="CO52" s="18"/>
      <c r="CP52" s="18"/>
      <c r="CQ52" s="18"/>
      <c r="CR52" s="18"/>
      <c r="CS52" s="18"/>
      <c r="CT52" s="18"/>
      <c r="CU52" s="18"/>
      <c r="CV52" s="18"/>
      <c r="CW52" s="18"/>
      <c r="CX52" s="18"/>
      <c r="CY52" s="18"/>
    </row>
    <row r="53" spans="1:103" s="25" customFormat="1" x14ac:dyDescent="0.2">
      <c r="A53" s="58">
        <v>46</v>
      </c>
      <c r="B53" s="14" t="s">
        <v>1429</v>
      </c>
      <c r="C53" s="14" t="s">
        <v>79</v>
      </c>
      <c r="D53" s="15" t="s">
        <v>284</v>
      </c>
      <c r="E53" s="15"/>
      <c r="F53" s="15">
        <v>2001</v>
      </c>
      <c r="G53" s="16" t="s">
        <v>294</v>
      </c>
      <c r="H53" s="24" t="s">
        <v>780</v>
      </c>
      <c r="I53" s="15" t="s">
        <v>8</v>
      </c>
      <c r="J53" s="17" t="s">
        <v>64</v>
      </c>
      <c r="K53" s="17" t="s">
        <v>366</v>
      </c>
      <c r="L53" s="15" t="s">
        <v>31</v>
      </c>
      <c r="M53" s="15" t="s">
        <v>25</v>
      </c>
      <c r="N53" s="15" t="s">
        <v>75</v>
      </c>
      <c r="O53" s="16" t="s">
        <v>774</v>
      </c>
      <c r="P53" s="15" t="s">
        <v>285</v>
      </c>
      <c r="Q53" s="17" t="s">
        <v>313</v>
      </c>
      <c r="R53" s="16" t="s">
        <v>773</v>
      </c>
      <c r="S53" s="15" t="s">
        <v>50</v>
      </c>
      <c r="T53" s="15" t="s">
        <v>789</v>
      </c>
      <c r="U53" s="15">
        <v>3</v>
      </c>
      <c r="V53" s="57">
        <f t="shared" si="1"/>
        <v>3</v>
      </c>
      <c r="W53" s="57" t="str">
        <f t="shared" si="5"/>
        <v>S</v>
      </c>
      <c r="X53" s="15" t="s">
        <v>16</v>
      </c>
      <c r="Y53" s="15" t="s">
        <v>14</v>
      </c>
      <c r="Z53" s="31" t="s">
        <v>531</v>
      </c>
      <c r="AA53" s="15" t="s">
        <v>790</v>
      </c>
      <c r="AB53" s="15">
        <v>10</v>
      </c>
      <c r="AC53" s="15">
        <f t="shared" si="3"/>
        <v>10</v>
      </c>
      <c r="AD53" s="15" t="str">
        <f t="shared" si="4"/>
        <v>L</v>
      </c>
      <c r="AE53" s="15" t="s">
        <v>131</v>
      </c>
      <c r="AF53" s="15" t="s">
        <v>388</v>
      </c>
      <c r="AG53" s="17">
        <v>118</v>
      </c>
      <c r="AH53" s="17">
        <v>55</v>
      </c>
      <c r="AI53" s="17">
        <v>55</v>
      </c>
      <c r="AJ53" s="47">
        <v>50</v>
      </c>
      <c r="AK53" s="47">
        <v>5</v>
      </c>
      <c r="AL53" s="47">
        <v>55</v>
      </c>
      <c r="AM53" s="17">
        <v>50</v>
      </c>
      <c r="AN53" s="47">
        <v>5</v>
      </c>
      <c r="AO53" s="47"/>
      <c r="AP53" s="17"/>
      <c r="AQ53" s="17"/>
      <c r="AR53" s="17"/>
      <c r="AS53" s="17">
        <v>47</v>
      </c>
      <c r="AT53" s="17"/>
      <c r="AU53" s="17">
        <v>0</v>
      </c>
      <c r="AV53" s="17"/>
      <c r="AW53" s="17"/>
      <c r="AX53" s="17"/>
      <c r="AY53" s="17"/>
      <c r="AZ53" s="17"/>
      <c r="BA53" s="17">
        <v>54</v>
      </c>
      <c r="BB53" s="17">
        <v>50</v>
      </c>
      <c r="BC53" s="17">
        <v>43</v>
      </c>
      <c r="BD53" s="17">
        <v>7</v>
      </c>
      <c r="BE53" s="47">
        <v>50</v>
      </c>
      <c r="BF53" s="17">
        <v>43</v>
      </c>
      <c r="BG53" s="47">
        <f>+BE53-BF53</f>
        <v>7</v>
      </c>
      <c r="BH53" s="17"/>
      <c r="BI53" s="17"/>
      <c r="BJ53" s="17"/>
      <c r="BK53" s="17"/>
      <c r="BL53" s="17">
        <v>70</v>
      </c>
      <c r="BM53" s="17"/>
      <c r="BN53" s="17">
        <v>0</v>
      </c>
      <c r="BO53" s="17"/>
      <c r="BP53" s="17"/>
      <c r="BQ53" s="17"/>
      <c r="BR53" s="17"/>
      <c r="BS53" s="17"/>
      <c r="BT53" s="17">
        <f>29+25</f>
        <v>54</v>
      </c>
      <c r="BU53" s="17"/>
      <c r="BV53" s="17"/>
      <c r="BW53" s="17"/>
      <c r="BX53" s="17"/>
      <c r="BY53" s="17"/>
      <c r="BZ53" s="17">
        <v>10</v>
      </c>
      <c r="CA53" s="17"/>
      <c r="CB53" s="17"/>
      <c r="CC53" s="17"/>
      <c r="CD53" s="17"/>
      <c r="CE53" s="17"/>
      <c r="CF53" s="17"/>
      <c r="CG53" s="17"/>
      <c r="CH53" s="17"/>
      <c r="CI53" s="17"/>
      <c r="CJ53" s="17"/>
      <c r="CK53" s="17"/>
      <c r="CL53" s="17"/>
      <c r="CM53" s="17"/>
      <c r="CN53" s="18"/>
      <c r="CO53" s="18"/>
      <c r="CP53" s="18"/>
      <c r="CQ53" s="18"/>
      <c r="CR53" s="18"/>
      <c r="CS53" s="18"/>
      <c r="CT53" s="18"/>
      <c r="CU53" s="18"/>
      <c r="CV53" s="18"/>
      <c r="CW53" s="18"/>
      <c r="CX53" s="18"/>
      <c r="CY53" s="18"/>
    </row>
    <row r="54" spans="1:103" s="29" customFormat="1" ht="17" customHeight="1" x14ac:dyDescent="0.2">
      <c r="A54" s="58">
        <v>47</v>
      </c>
      <c r="B54" s="14" t="s">
        <v>1429</v>
      </c>
      <c r="C54" s="30" t="s">
        <v>79</v>
      </c>
      <c r="D54" s="31" t="s">
        <v>136</v>
      </c>
      <c r="E54" s="31"/>
      <c r="F54" s="31">
        <v>1999</v>
      </c>
      <c r="G54" s="50" t="s">
        <v>792</v>
      </c>
      <c r="H54" s="41" t="s">
        <v>793</v>
      </c>
      <c r="I54" s="31" t="s">
        <v>8</v>
      </c>
      <c r="J54" s="31" t="s">
        <v>35</v>
      </c>
      <c r="K54" s="31" t="s">
        <v>1471</v>
      </c>
      <c r="L54" s="31" t="s">
        <v>31</v>
      </c>
      <c r="M54" s="31" t="s">
        <v>11</v>
      </c>
      <c r="N54" s="31" t="s">
        <v>201</v>
      </c>
      <c r="O54" s="31" t="s">
        <v>404</v>
      </c>
      <c r="P54" s="31" t="s">
        <v>285</v>
      </c>
      <c r="Q54" s="33" t="s">
        <v>313</v>
      </c>
      <c r="R54" s="50" t="s">
        <v>794</v>
      </c>
      <c r="S54" s="31" t="s">
        <v>137</v>
      </c>
      <c r="T54" s="31" t="s">
        <v>754</v>
      </c>
      <c r="U54" s="31">
        <v>10</v>
      </c>
      <c r="V54" s="57">
        <f t="shared" si="1"/>
        <v>10</v>
      </c>
      <c r="W54" s="57" t="str">
        <f t="shared" si="5"/>
        <v>L</v>
      </c>
      <c r="X54" s="31" t="s">
        <v>13</v>
      </c>
      <c r="Y54" s="31" t="s">
        <v>14</v>
      </c>
      <c r="Z54" s="31" t="s">
        <v>54</v>
      </c>
      <c r="AA54" s="31" t="s">
        <v>581</v>
      </c>
      <c r="AB54" s="31">
        <v>10</v>
      </c>
      <c r="AC54" s="15">
        <f t="shared" si="3"/>
        <v>10</v>
      </c>
      <c r="AD54" s="15" t="str">
        <f t="shared" si="4"/>
        <v>L</v>
      </c>
      <c r="AE54" s="31" t="s">
        <v>16</v>
      </c>
      <c r="AF54" s="31" t="s">
        <v>14</v>
      </c>
      <c r="AG54" s="33">
        <v>342</v>
      </c>
      <c r="AH54" s="33">
        <v>167</v>
      </c>
      <c r="AI54" s="33">
        <v>167</v>
      </c>
      <c r="AJ54" s="33">
        <v>133</v>
      </c>
      <c r="AK54" s="33">
        <f>+AI54-AJ54</f>
        <v>34</v>
      </c>
      <c r="AL54" s="44">
        <v>150</v>
      </c>
      <c r="AM54" s="33">
        <v>133</v>
      </c>
      <c r="AN54" s="44">
        <f>+AL54-AM54</f>
        <v>17</v>
      </c>
      <c r="AO54" s="44">
        <v>66</v>
      </c>
      <c r="AP54" s="33">
        <v>64</v>
      </c>
      <c r="AQ54" s="33">
        <v>2</v>
      </c>
      <c r="AR54" s="33"/>
      <c r="AS54" s="33">
        <v>94</v>
      </c>
      <c r="AT54" s="33"/>
      <c r="AU54" s="33">
        <v>2</v>
      </c>
      <c r="AV54" s="33"/>
      <c r="AW54" s="33">
        <v>1</v>
      </c>
      <c r="AX54" s="33"/>
      <c r="AY54" s="33"/>
      <c r="AZ54" s="33"/>
      <c r="BA54" s="33">
        <v>175</v>
      </c>
      <c r="BB54" s="33">
        <v>175</v>
      </c>
      <c r="BC54" s="33">
        <v>145</v>
      </c>
      <c r="BD54" s="33">
        <v>30</v>
      </c>
      <c r="BE54" s="44">
        <v>162</v>
      </c>
      <c r="BF54" s="33">
        <v>144</v>
      </c>
      <c r="BG54" s="44">
        <f>+BE54-BF54</f>
        <v>18</v>
      </c>
      <c r="BH54" s="33">
        <v>81</v>
      </c>
      <c r="BI54" s="33">
        <v>74</v>
      </c>
      <c r="BJ54" s="33">
        <v>7</v>
      </c>
      <c r="BK54" s="33"/>
      <c r="BL54" s="33">
        <v>114</v>
      </c>
      <c r="BM54" s="33"/>
      <c r="BN54" s="33">
        <v>0</v>
      </c>
      <c r="BO54" s="33"/>
      <c r="BP54" s="33">
        <v>0</v>
      </c>
      <c r="BQ54" s="33"/>
      <c r="BR54" s="33"/>
      <c r="BS54" s="33"/>
      <c r="BT54" s="33">
        <f>66+81</f>
        <v>147</v>
      </c>
      <c r="BU54" s="33">
        <f>8+10</f>
        <v>18</v>
      </c>
      <c r="BV54" s="33">
        <f>19+15</f>
        <v>34</v>
      </c>
      <c r="BW54" s="33"/>
      <c r="BX54" s="33"/>
      <c r="BY54" s="33">
        <f>1+4</f>
        <v>5</v>
      </c>
      <c r="BZ54" s="33"/>
      <c r="CA54" s="33"/>
      <c r="CB54" s="33"/>
      <c r="CC54" s="33"/>
      <c r="CD54" s="33"/>
      <c r="CE54" s="33"/>
      <c r="CF54" s="33"/>
      <c r="CG54" s="33"/>
      <c r="CH54" s="33"/>
      <c r="CI54" s="33"/>
      <c r="CJ54" s="33"/>
      <c r="CK54" s="33"/>
      <c r="CL54" s="33"/>
      <c r="CM54" s="33"/>
      <c r="CN54" s="35"/>
      <c r="CO54" s="35"/>
      <c r="CP54" s="35"/>
      <c r="CQ54" s="35"/>
      <c r="CR54" s="35"/>
      <c r="CS54" s="35"/>
      <c r="CT54" s="35"/>
      <c r="CU54" s="35"/>
      <c r="CV54" s="35"/>
      <c r="CW54" s="35"/>
      <c r="CX54" s="35"/>
      <c r="CY54" s="35"/>
    </row>
    <row r="55" spans="1:103" s="25" customFormat="1" x14ac:dyDescent="0.2">
      <c r="A55" s="58">
        <v>48</v>
      </c>
      <c r="B55" s="14" t="s">
        <v>1429</v>
      </c>
      <c r="C55" s="14" t="s">
        <v>79</v>
      </c>
      <c r="D55" s="15" t="s">
        <v>143</v>
      </c>
      <c r="E55" s="15"/>
      <c r="F55" s="15">
        <v>2019</v>
      </c>
      <c r="G55" s="16" t="s">
        <v>796</v>
      </c>
      <c r="H55" s="24" t="s">
        <v>795</v>
      </c>
      <c r="I55" s="15" t="s">
        <v>8</v>
      </c>
      <c r="J55" s="27" t="s">
        <v>144</v>
      </c>
      <c r="K55" s="27" t="s">
        <v>1471</v>
      </c>
      <c r="L55" s="15" t="s">
        <v>31</v>
      </c>
      <c r="M55" s="15" t="s">
        <v>11</v>
      </c>
      <c r="N55" s="15" t="s">
        <v>201</v>
      </c>
      <c r="O55" s="17" t="s">
        <v>404</v>
      </c>
      <c r="P55" s="15" t="s">
        <v>285</v>
      </c>
      <c r="Q55" s="17" t="s">
        <v>313</v>
      </c>
      <c r="R55" s="16" t="s">
        <v>797</v>
      </c>
      <c r="S55" s="15" t="s">
        <v>92</v>
      </c>
      <c r="T55" s="15" t="s">
        <v>405</v>
      </c>
      <c r="U55" s="15" t="s">
        <v>548</v>
      </c>
      <c r="V55" s="57">
        <v>8</v>
      </c>
      <c r="W55" s="57" t="str">
        <f t="shared" si="5"/>
        <v>L</v>
      </c>
      <c r="X55" s="17" t="s">
        <v>702</v>
      </c>
      <c r="Y55" s="17" t="s">
        <v>14</v>
      </c>
      <c r="Z55" s="31" t="s">
        <v>33</v>
      </c>
      <c r="AA55" s="15" t="s">
        <v>405</v>
      </c>
      <c r="AB55" s="15" t="s">
        <v>548</v>
      </c>
      <c r="AC55" s="15">
        <v>10</v>
      </c>
      <c r="AD55" s="15" t="str">
        <f t="shared" si="4"/>
        <v>L</v>
      </c>
      <c r="AE55" s="27" t="s">
        <v>13</v>
      </c>
      <c r="AF55" s="17" t="s">
        <v>14</v>
      </c>
      <c r="AG55" s="17">
        <v>532</v>
      </c>
      <c r="AH55" s="17">
        <v>357</v>
      </c>
      <c r="AI55" s="17">
        <f>+AJ55+AK55</f>
        <v>328</v>
      </c>
      <c r="AJ55" s="17">
        <v>302</v>
      </c>
      <c r="AK55" s="17">
        <f>21+5</f>
        <v>26</v>
      </c>
      <c r="AL55" s="47">
        <f>+AM55+AN55</f>
        <v>305</v>
      </c>
      <c r="AM55" s="17">
        <v>284</v>
      </c>
      <c r="AN55" s="47">
        <f>18+3</f>
        <v>21</v>
      </c>
      <c r="AO55" s="47">
        <v>107</v>
      </c>
      <c r="AP55" s="17">
        <v>100</v>
      </c>
      <c r="AQ55" s="17">
        <v>7</v>
      </c>
      <c r="AR55" s="17"/>
      <c r="AS55" s="47">
        <f>356*0.331</f>
        <v>117.83600000000001</v>
      </c>
      <c r="AT55" s="17"/>
      <c r="AU55" s="17">
        <v>5</v>
      </c>
      <c r="AV55" s="17"/>
      <c r="AW55" s="17">
        <v>0</v>
      </c>
      <c r="AX55" s="17"/>
      <c r="AY55" s="17"/>
      <c r="AZ55" s="17"/>
      <c r="BA55" s="17">
        <v>175</v>
      </c>
      <c r="BB55" s="17">
        <v>160</v>
      </c>
      <c r="BC55" s="17">
        <v>145</v>
      </c>
      <c r="BD55" s="17">
        <v>15</v>
      </c>
      <c r="BE55" s="47">
        <f>136+11+1</f>
        <v>148</v>
      </c>
      <c r="BF55" s="17">
        <v>136</v>
      </c>
      <c r="BG55" s="47">
        <v>12</v>
      </c>
      <c r="BH55" s="17">
        <v>60</v>
      </c>
      <c r="BI55" s="17">
        <v>55</v>
      </c>
      <c r="BJ55" s="17">
        <v>5</v>
      </c>
      <c r="BK55" s="17"/>
      <c r="BL55" s="47">
        <f>171*0.333</f>
        <v>56.943000000000005</v>
      </c>
      <c r="BM55" s="17"/>
      <c r="BN55" s="17">
        <v>1</v>
      </c>
      <c r="BO55" s="17"/>
      <c r="BP55" s="17">
        <v>0</v>
      </c>
      <c r="BQ55" s="17"/>
      <c r="BR55" s="17"/>
      <c r="BS55" s="17"/>
      <c r="BT55" s="17">
        <f>28+17+32+39+45+7+9+2+8+13+25+12+8+14</f>
        <v>259</v>
      </c>
      <c r="BU55" s="17">
        <f>28+14</f>
        <v>42</v>
      </c>
      <c r="BV55" s="17">
        <f>32+12</f>
        <v>44</v>
      </c>
      <c r="BW55" s="17">
        <f>39+25</f>
        <v>64</v>
      </c>
      <c r="BX55" s="17"/>
      <c r="BY55" s="17">
        <f>17+8</f>
        <v>25</v>
      </c>
      <c r="BZ55" s="17">
        <f>45+13+8+7+9+2</f>
        <v>84</v>
      </c>
      <c r="CA55" s="17"/>
      <c r="CB55" s="17"/>
      <c r="CC55" s="17"/>
      <c r="CD55" s="17"/>
      <c r="CE55" s="17"/>
      <c r="CF55" s="17"/>
      <c r="CG55" s="17"/>
      <c r="CH55" s="17"/>
      <c r="CI55" s="17"/>
      <c r="CJ55" s="17"/>
      <c r="CK55" s="17"/>
      <c r="CL55" s="17"/>
      <c r="CM55" s="17"/>
      <c r="CN55" s="18"/>
      <c r="CO55" s="18"/>
      <c r="CP55" s="18"/>
      <c r="CQ55" s="18"/>
      <c r="CR55" s="18"/>
      <c r="CS55" s="18"/>
      <c r="CT55" s="18"/>
      <c r="CU55" s="18"/>
      <c r="CV55" s="18"/>
      <c r="CW55" s="18"/>
      <c r="CX55" s="18"/>
      <c r="CY55" s="18"/>
    </row>
    <row r="56" spans="1:103" s="36" customFormat="1" x14ac:dyDescent="0.2">
      <c r="A56" s="58">
        <v>49</v>
      </c>
      <c r="B56" s="14" t="s">
        <v>1429</v>
      </c>
      <c r="C56" s="30" t="s">
        <v>79</v>
      </c>
      <c r="D56" s="31" t="s">
        <v>163</v>
      </c>
      <c r="E56" s="31"/>
      <c r="F56" s="31">
        <v>2013</v>
      </c>
      <c r="G56" s="32" t="s">
        <v>823</v>
      </c>
      <c r="H56" s="41" t="s">
        <v>822</v>
      </c>
      <c r="I56" s="31" t="s">
        <v>8</v>
      </c>
      <c r="J56" s="31" t="s">
        <v>164</v>
      </c>
      <c r="K56" s="31" t="s">
        <v>1472</v>
      </c>
      <c r="L56" s="15" t="s">
        <v>68</v>
      </c>
      <c r="M56" s="15" t="s">
        <v>25</v>
      </c>
      <c r="N56" s="31" t="s">
        <v>201</v>
      </c>
      <c r="O56" s="31" t="s">
        <v>404</v>
      </c>
      <c r="P56" s="31" t="s">
        <v>221</v>
      </c>
      <c r="Q56" s="31" t="s">
        <v>313</v>
      </c>
      <c r="R56" s="32" t="s">
        <v>837</v>
      </c>
      <c r="S56" s="31" t="s">
        <v>33</v>
      </c>
      <c r="T56" s="31" t="s">
        <v>474</v>
      </c>
      <c r="U56" s="31">
        <v>7</v>
      </c>
      <c r="V56" s="57">
        <f t="shared" si="1"/>
        <v>7</v>
      </c>
      <c r="W56" s="57" t="str">
        <f t="shared" si="5"/>
        <v>L</v>
      </c>
      <c r="X56" s="31" t="s">
        <v>13</v>
      </c>
      <c r="Y56" s="31" t="s">
        <v>14</v>
      </c>
      <c r="Z56" s="31" t="s">
        <v>1304</v>
      </c>
      <c r="AA56" s="31" t="s">
        <v>838</v>
      </c>
      <c r="AB56" s="31">
        <v>7</v>
      </c>
      <c r="AC56" s="15">
        <f t="shared" si="3"/>
        <v>7</v>
      </c>
      <c r="AD56" s="15" t="str">
        <f t="shared" si="4"/>
        <v>L</v>
      </c>
      <c r="AE56" s="32" t="s">
        <v>507</v>
      </c>
      <c r="AF56" s="31" t="s">
        <v>14</v>
      </c>
      <c r="AG56" s="33">
        <f>36*2</f>
        <v>72</v>
      </c>
      <c r="AH56" s="33">
        <v>36</v>
      </c>
      <c r="AI56" s="33">
        <v>36</v>
      </c>
      <c r="AJ56" s="33">
        <v>29</v>
      </c>
      <c r="AK56" s="33">
        <v>7</v>
      </c>
      <c r="AL56" s="44">
        <v>36</v>
      </c>
      <c r="AM56" s="33">
        <v>29</v>
      </c>
      <c r="AN56" s="44">
        <v>7</v>
      </c>
      <c r="AO56" s="44"/>
      <c r="AP56" s="33"/>
      <c r="AQ56" s="33"/>
      <c r="AR56" s="33"/>
      <c r="AS56" s="33"/>
      <c r="AT56" s="33"/>
      <c r="AU56" s="33"/>
      <c r="AV56" s="33"/>
      <c r="AW56" s="33">
        <v>4</v>
      </c>
      <c r="AX56" s="33"/>
      <c r="AY56" s="33"/>
      <c r="AZ56" s="33"/>
      <c r="BA56" s="33">
        <v>36</v>
      </c>
      <c r="BB56" s="33">
        <v>36</v>
      </c>
      <c r="BC56" s="33">
        <v>23</v>
      </c>
      <c r="BD56" s="33">
        <v>13</v>
      </c>
      <c r="BE56" s="44">
        <v>36</v>
      </c>
      <c r="BF56" s="33">
        <v>23</v>
      </c>
      <c r="BG56" s="44">
        <f>+BE56-BF56</f>
        <v>13</v>
      </c>
      <c r="BH56" s="33"/>
      <c r="BI56" s="33"/>
      <c r="BJ56" s="33"/>
      <c r="BK56" s="33"/>
      <c r="BL56" s="33"/>
      <c r="BM56" s="33"/>
      <c r="BN56" s="33"/>
      <c r="BO56" s="33"/>
      <c r="BP56" s="33">
        <v>3</v>
      </c>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5"/>
      <c r="CO56" s="35"/>
      <c r="CP56" s="35"/>
      <c r="CQ56" s="35"/>
      <c r="CR56" s="35"/>
      <c r="CS56" s="35"/>
      <c r="CT56" s="35"/>
      <c r="CU56" s="35"/>
      <c r="CV56" s="35"/>
      <c r="CW56" s="35"/>
      <c r="CX56" s="35"/>
      <c r="CY56" s="35"/>
    </row>
    <row r="57" spans="1:103" s="36" customFormat="1" x14ac:dyDescent="0.2">
      <c r="A57" s="58">
        <v>50</v>
      </c>
      <c r="B57" s="14" t="s">
        <v>1429</v>
      </c>
      <c r="C57" s="30" t="s">
        <v>79</v>
      </c>
      <c r="D57" s="30" t="s">
        <v>817</v>
      </c>
      <c r="E57" s="31"/>
      <c r="F57" s="31">
        <v>2006</v>
      </c>
      <c r="G57" s="32" t="s">
        <v>832</v>
      </c>
      <c r="H57" s="41"/>
      <c r="I57" s="31" t="s">
        <v>8</v>
      </c>
      <c r="J57" s="31" t="s">
        <v>36</v>
      </c>
      <c r="K57" s="31" t="s">
        <v>1471</v>
      </c>
      <c r="L57" s="15" t="s">
        <v>68</v>
      </c>
      <c r="M57" s="15" t="s">
        <v>25</v>
      </c>
      <c r="N57" s="31" t="s">
        <v>201</v>
      </c>
      <c r="O57" s="31" t="s">
        <v>404</v>
      </c>
      <c r="P57" s="31"/>
      <c r="Q57" s="31" t="s">
        <v>313</v>
      </c>
      <c r="R57" s="32" t="s">
        <v>841</v>
      </c>
      <c r="S57" s="31" t="s">
        <v>33</v>
      </c>
      <c r="T57" s="31" t="s">
        <v>833</v>
      </c>
      <c r="U57" s="31" t="s">
        <v>354</v>
      </c>
      <c r="V57" s="57">
        <v>10</v>
      </c>
      <c r="W57" s="57" t="str">
        <f t="shared" si="5"/>
        <v>L</v>
      </c>
      <c r="X57" s="31" t="s">
        <v>13</v>
      </c>
      <c r="Y57" s="31" t="s">
        <v>14</v>
      </c>
      <c r="Z57" s="31" t="s">
        <v>1460</v>
      </c>
      <c r="AA57" s="31" t="s">
        <v>834</v>
      </c>
      <c r="AB57" s="31" t="s">
        <v>354</v>
      </c>
      <c r="AC57" s="15">
        <v>10</v>
      </c>
      <c r="AD57" s="15" t="str">
        <f t="shared" si="4"/>
        <v>L</v>
      </c>
      <c r="AE57" s="32" t="s">
        <v>507</v>
      </c>
      <c r="AF57" s="31" t="s">
        <v>14</v>
      </c>
      <c r="AG57" s="33">
        <v>100</v>
      </c>
      <c r="AH57" s="33">
        <v>50</v>
      </c>
      <c r="AI57" s="33">
        <v>50</v>
      </c>
      <c r="AJ57" s="33">
        <v>45</v>
      </c>
      <c r="AK57" s="33">
        <v>5</v>
      </c>
      <c r="AL57" s="44">
        <v>50</v>
      </c>
      <c r="AM57" s="33">
        <v>45</v>
      </c>
      <c r="AN57" s="44">
        <v>5</v>
      </c>
      <c r="AO57" s="44">
        <v>22</v>
      </c>
      <c r="AP57" s="33">
        <v>20</v>
      </c>
      <c r="AQ57" s="33">
        <v>2</v>
      </c>
      <c r="AR57" s="33"/>
      <c r="AS57" s="33">
        <v>4</v>
      </c>
      <c r="AT57" s="33"/>
      <c r="AU57" s="33"/>
      <c r="AV57" s="33"/>
      <c r="AW57" s="33"/>
      <c r="AX57" s="33"/>
      <c r="AY57" s="33"/>
      <c r="AZ57" s="33"/>
      <c r="BA57" s="33">
        <v>50</v>
      </c>
      <c r="BB57" s="33">
        <v>50</v>
      </c>
      <c r="BC57" s="33">
        <v>43</v>
      </c>
      <c r="BD57" s="33">
        <v>7</v>
      </c>
      <c r="BE57" s="44">
        <v>50</v>
      </c>
      <c r="BF57" s="33">
        <v>43</v>
      </c>
      <c r="BG57" s="44">
        <v>7</v>
      </c>
      <c r="BH57" s="33">
        <v>19</v>
      </c>
      <c r="BI57" s="33">
        <v>17</v>
      </c>
      <c r="BJ57" s="33">
        <v>2</v>
      </c>
      <c r="BK57" s="33"/>
      <c r="BL57" s="33">
        <v>5</v>
      </c>
      <c r="BM57" s="33"/>
      <c r="BN57" s="33"/>
      <c r="BO57" s="33"/>
      <c r="BP57" s="33"/>
      <c r="BQ57" s="33"/>
      <c r="BR57" s="33"/>
      <c r="BS57" s="33"/>
      <c r="BT57" s="33">
        <f>19+22</f>
        <v>41</v>
      </c>
      <c r="BU57" s="33">
        <v>20</v>
      </c>
      <c r="BV57" s="33">
        <v>3</v>
      </c>
      <c r="BW57" s="33">
        <v>2</v>
      </c>
      <c r="BX57" s="33"/>
      <c r="BY57" s="33"/>
      <c r="BZ57" s="33"/>
      <c r="CA57" s="33"/>
      <c r="CB57" s="33"/>
      <c r="CC57" s="33"/>
      <c r="CD57" s="33"/>
      <c r="CE57" s="33"/>
      <c r="CF57" s="33"/>
      <c r="CG57" s="33"/>
      <c r="CH57" s="33"/>
      <c r="CI57" s="33"/>
      <c r="CJ57" s="33"/>
      <c r="CK57" s="33"/>
      <c r="CL57" s="33"/>
      <c r="CM57" s="33"/>
      <c r="CN57" s="35"/>
      <c r="CO57" s="35"/>
      <c r="CP57" s="35"/>
      <c r="CQ57" s="35"/>
      <c r="CR57" s="35"/>
      <c r="CS57" s="35"/>
      <c r="CT57" s="35"/>
      <c r="CU57" s="35"/>
      <c r="CV57" s="35"/>
      <c r="CW57" s="35"/>
      <c r="CX57" s="35"/>
      <c r="CY57" s="35"/>
    </row>
    <row r="58" spans="1:103" s="36" customFormat="1" x14ac:dyDescent="0.2">
      <c r="A58" s="58">
        <v>51</v>
      </c>
      <c r="B58" s="14" t="s">
        <v>1429</v>
      </c>
      <c r="C58" s="30" t="s">
        <v>79</v>
      </c>
      <c r="D58" s="31" t="s">
        <v>159</v>
      </c>
      <c r="E58" s="31"/>
      <c r="F58" s="31">
        <v>2012</v>
      </c>
      <c r="G58" s="32" t="s">
        <v>821</v>
      </c>
      <c r="H58" s="41" t="s">
        <v>820</v>
      </c>
      <c r="I58" s="31" t="s">
        <v>8</v>
      </c>
      <c r="J58" s="31" t="s">
        <v>160</v>
      </c>
      <c r="K58" s="31" t="s">
        <v>1471</v>
      </c>
      <c r="L58" s="15" t="s">
        <v>68</v>
      </c>
      <c r="M58" s="31" t="s">
        <v>333</v>
      </c>
      <c r="N58" s="31" t="s">
        <v>201</v>
      </c>
      <c r="O58" s="31" t="s">
        <v>404</v>
      </c>
      <c r="P58" s="31" t="s">
        <v>285</v>
      </c>
      <c r="Q58" s="31" t="s">
        <v>313</v>
      </c>
      <c r="R58" s="32" t="s">
        <v>835</v>
      </c>
      <c r="S58" s="31" t="s">
        <v>33</v>
      </c>
      <c r="T58" s="31" t="s">
        <v>474</v>
      </c>
      <c r="U58" s="31">
        <v>12</v>
      </c>
      <c r="V58" s="57">
        <f t="shared" si="1"/>
        <v>12</v>
      </c>
      <c r="W58" s="57" t="str">
        <f t="shared" si="5"/>
        <v>L</v>
      </c>
      <c r="X58" s="31" t="s">
        <v>13</v>
      </c>
      <c r="Y58" s="31" t="s">
        <v>14</v>
      </c>
      <c r="Z58" s="31" t="s">
        <v>158</v>
      </c>
      <c r="AA58" s="31" t="s">
        <v>840</v>
      </c>
      <c r="AB58" s="31">
        <v>12</v>
      </c>
      <c r="AC58" s="15">
        <f t="shared" si="3"/>
        <v>12</v>
      </c>
      <c r="AD58" s="15" t="str">
        <f t="shared" si="4"/>
        <v>L</v>
      </c>
      <c r="AE58" s="32" t="s">
        <v>507</v>
      </c>
      <c r="AF58" s="31" t="s">
        <v>14</v>
      </c>
      <c r="AG58" s="33">
        <v>40</v>
      </c>
      <c r="AH58" s="33">
        <v>20</v>
      </c>
      <c r="AI58" s="33">
        <v>20</v>
      </c>
      <c r="AJ58" s="33">
        <v>16</v>
      </c>
      <c r="AK58" s="33">
        <v>4</v>
      </c>
      <c r="AL58" s="44">
        <v>17</v>
      </c>
      <c r="AM58" s="33">
        <v>16</v>
      </c>
      <c r="AN58" s="44">
        <v>1</v>
      </c>
      <c r="AO58" s="44">
        <v>4</v>
      </c>
      <c r="AP58" s="33">
        <v>4</v>
      </c>
      <c r="AQ58" s="33">
        <v>0</v>
      </c>
      <c r="AR58" s="33"/>
      <c r="AS58" s="33">
        <v>6</v>
      </c>
      <c r="AT58" s="33">
        <v>6</v>
      </c>
      <c r="AU58" s="33">
        <v>2</v>
      </c>
      <c r="AV58" s="33"/>
      <c r="AW58" s="33">
        <v>0</v>
      </c>
      <c r="AX58" s="33"/>
      <c r="AY58" s="33"/>
      <c r="AZ58" s="33"/>
      <c r="BA58" s="33">
        <v>20</v>
      </c>
      <c r="BB58" s="33">
        <v>20</v>
      </c>
      <c r="BC58" s="33">
        <v>16</v>
      </c>
      <c r="BD58" s="33">
        <v>4</v>
      </c>
      <c r="BE58" s="44">
        <v>19</v>
      </c>
      <c r="BF58" s="33">
        <v>16</v>
      </c>
      <c r="BG58" s="44">
        <v>3</v>
      </c>
      <c r="BH58" s="33">
        <v>7</v>
      </c>
      <c r="BI58" s="33">
        <v>7</v>
      </c>
      <c r="BJ58" s="33">
        <v>0</v>
      </c>
      <c r="BK58" s="33"/>
      <c r="BL58" s="33">
        <v>7</v>
      </c>
      <c r="BM58" s="33">
        <v>7</v>
      </c>
      <c r="BN58" s="33">
        <v>0</v>
      </c>
      <c r="BO58" s="33"/>
      <c r="BP58" s="33">
        <v>0</v>
      </c>
      <c r="BQ58" s="33"/>
      <c r="BR58" s="33"/>
      <c r="BS58" s="33"/>
      <c r="BT58" s="33">
        <f>5+2+6</f>
        <v>13</v>
      </c>
      <c r="BU58" s="33">
        <v>3</v>
      </c>
      <c r="BV58" s="33"/>
      <c r="BW58" s="33">
        <v>1</v>
      </c>
      <c r="BX58" s="33"/>
      <c r="BY58" s="33">
        <v>1</v>
      </c>
      <c r="BZ58" s="33">
        <v>3</v>
      </c>
      <c r="CA58" s="33"/>
      <c r="CB58" s="33"/>
      <c r="CC58" s="33"/>
      <c r="CD58" s="33"/>
      <c r="CE58" s="33"/>
      <c r="CF58" s="33"/>
      <c r="CG58" s="33"/>
      <c r="CH58" s="33"/>
      <c r="CI58" s="33"/>
      <c r="CJ58" s="33"/>
      <c r="CK58" s="33"/>
      <c r="CL58" s="33"/>
      <c r="CM58" s="33"/>
      <c r="CN58" s="35"/>
      <c r="CO58" s="35"/>
      <c r="CP58" s="35"/>
      <c r="CQ58" s="35"/>
      <c r="CR58" s="35"/>
      <c r="CS58" s="35"/>
      <c r="CT58" s="35"/>
      <c r="CU58" s="35"/>
      <c r="CV58" s="35"/>
      <c r="CW58" s="35"/>
      <c r="CX58" s="35"/>
      <c r="CY58" s="35"/>
    </row>
    <row r="59" spans="1:103" s="36" customFormat="1" x14ac:dyDescent="0.2">
      <c r="A59" s="58">
        <v>52</v>
      </c>
      <c r="B59" s="14" t="s">
        <v>1429</v>
      </c>
      <c r="C59" s="30" t="s">
        <v>79</v>
      </c>
      <c r="D59" s="31" t="s">
        <v>816</v>
      </c>
      <c r="E59" s="31"/>
      <c r="F59" s="31">
        <v>2018</v>
      </c>
      <c r="G59" s="32" t="s">
        <v>819</v>
      </c>
      <c r="H59" s="41" t="s">
        <v>818</v>
      </c>
      <c r="I59" s="31" t="s">
        <v>8</v>
      </c>
      <c r="J59" s="31" t="s">
        <v>836</v>
      </c>
      <c r="K59" s="31" t="s">
        <v>1471</v>
      </c>
      <c r="L59" s="15" t="s">
        <v>68</v>
      </c>
      <c r="M59" s="15" t="s">
        <v>25</v>
      </c>
      <c r="N59" s="31" t="s">
        <v>201</v>
      </c>
      <c r="O59" s="31" t="s">
        <v>459</v>
      </c>
      <c r="P59" s="31" t="s">
        <v>285</v>
      </c>
      <c r="Q59" s="31" t="s">
        <v>313</v>
      </c>
      <c r="R59" s="32" t="s">
        <v>842</v>
      </c>
      <c r="S59" s="31" t="s">
        <v>33</v>
      </c>
      <c r="T59" s="31" t="s">
        <v>474</v>
      </c>
      <c r="U59" s="31">
        <v>5</v>
      </c>
      <c r="V59" s="57">
        <f t="shared" si="1"/>
        <v>5</v>
      </c>
      <c r="W59" s="57" t="str">
        <f t="shared" si="5"/>
        <v>S</v>
      </c>
      <c r="X59" s="31" t="s">
        <v>13</v>
      </c>
      <c r="Y59" s="31" t="s">
        <v>14</v>
      </c>
      <c r="Z59" s="31" t="s">
        <v>158</v>
      </c>
      <c r="AA59" s="31" t="s">
        <v>839</v>
      </c>
      <c r="AB59" s="31" t="s">
        <v>548</v>
      </c>
      <c r="AC59" s="15">
        <v>10</v>
      </c>
      <c r="AD59" s="15" t="str">
        <f t="shared" si="4"/>
        <v>L</v>
      </c>
      <c r="AE59" s="32" t="s">
        <v>507</v>
      </c>
      <c r="AF59" s="31" t="s">
        <v>14</v>
      </c>
      <c r="AG59" s="33">
        <f>75+75</f>
        <v>150</v>
      </c>
      <c r="AH59" s="33">
        <v>75</v>
      </c>
      <c r="AI59" s="33">
        <v>75</v>
      </c>
      <c r="AJ59" s="33">
        <v>75</v>
      </c>
      <c r="AK59" s="33">
        <v>0</v>
      </c>
      <c r="AL59" s="44">
        <v>75</v>
      </c>
      <c r="AM59" s="33">
        <v>75</v>
      </c>
      <c r="AN59" s="44">
        <v>0</v>
      </c>
      <c r="AO59" s="44"/>
      <c r="AP59" s="33"/>
      <c r="AQ59" s="33"/>
      <c r="AR59" s="33"/>
      <c r="AS59" s="33">
        <v>6</v>
      </c>
      <c r="AT59" s="33"/>
      <c r="AU59" s="33"/>
      <c r="AV59" s="33"/>
      <c r="AW59" s="33">
        <v>0</v>
      </c>
      <c r="AX59" s="33"/>
      <c r="AY59" s="33"/>
      <c r="AZ59" s="33"/>
      <c r="BA59" s="33">
        <v>75</v>
      </c>
      <c r="BB59" s="33">
        <v>75</v>
      </c>
      <c r="BC59" s="33">
        <v>75</v>
      </c>
      <c r="BD59" s="33">
        <v>0</v>
      </c>
      <c r="BE59" s="44">
        <v>75</v>
      </c>
      <c r="BF59" s="33">
        <v>75</v>
      </c>
      <c r="BG59" s="44">
        <v>0</v>
      </c>
      <c r="BH59" s="33"/>
      <c r="BI59" s="33"/>
      <c r="BJ59" s="33"/>
      <c r="BK59" s="33"/>
      <c r="BL59" s="33">
        <v>2</v>
      </c>
      <c r="BM59" s="33"/>
      <c r="BN59" s="33"/>
      <c r="BO59" s="33"/>
      <c r="BP59" s="33">
        <v>0</v>
      </c>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5"/>
      <c r="CO59" s="35"/>
      <c r="CP59" s="35"/>
      <c r="CQ59" s="35"/>
      <c r="CR59" s="35"/>
      <c r="CS59" s="35"/>
      <c r="CT59" s="35"/>
      <c r="CU59" s="35"/>
      <c r="CV59" s="35"/>
      <c r="CW59" s="35"/>
      <c r="CX59" s="35"/>
      <c r="CY59" s="35"/>
    </row>
    <row r="60" spans="1:103" s="36" customFormat="1" ht="15" customHeight="1" x14ac:dyDescent="0.2">
      <c r="A60" s="58">
        <v>53</v>
      </c>
      <c r="B60" s="14" t="s">
        <v>1429</v>
      </c>
      <c r="C60" s="30" t="s">
        <v>79</v>
      </c>
      <c r="D60" s="30" t="s">
        <v>815</v>
      </c>
      <c r="E60" s="31"/>
      <c r="F60" s="31">
        <v>2009</v>
      </c>
      <c r="G60" s="42" t="s">
        <v>824</v>
      </c>
      <c r="H60" s="41"/>
      <c r="I60" s="31" t="s">
        <v>8</v>
      </c>
      <c r="J60" s="31" t="s">
        <v>36</v>
      </c>
      <c r="K60" s="31" t="s">
        <v>1471</v>
      </c>
      <c r="L60" s="31" t="s">
        <v>32</v>
      </c>
      <c r="M60" s="15" t="s">
        <v>25</v>
      </c>
      <c r="N60" s="31" t="s">
        <v>201</v>
      </c>
      <c r="O60" s="31" t="s">
        <v>404</v>
      </c>
      <c r="P60" s="31"/>
      <c r="Q60" s="31" t="s">
        <v>313</v>
      </c>
      <c r="R60" s="32" t="s">
        <v>841</v>
      </c>
      <c r="S60" s="31" t="s">
        <v>40</v>
      </c>
      <c r="T60" s="31" t="s">
        <v>240</v>
      </c>
      <c r="U60" s="31">
        <v>7</v>
      </c>
      <c r="V60" s="57">
        <f t="shared" si="1"/>
        <v>7</v>
      </c>
      <c r="W60" s="57" t="str">
        <f t="shared" si="5"/>
        <v>L</v>
      </c>
      <c r="X60" s="31" t="s">
        <v>13</v>
      </c>
      <c r="Y60" s="31" t="s">
        <v>14</v>
      </c>
      <c r="Z60" s="31" t="s">
        <v>158</v>
      </c>
      <c r="AA60" s="31" t="s">
        <v>843</v>
      </c>
      <c r="AB60" s="31">
        <v>7</v>
      </c>
      <c r="AC60" s="15">
        <f t="shared" si="3"/>
        <v>7</v>
      </c>
      <c r="AD60" s="15" t="str">
        <f t="shared" si="4"/>
        <v>L</v>
      </c>
      <c r="AE60" s="32" t="s">
        <v>507</v>
      </c>
      <c r="AF60" s="31" t="s">
        <v>14</v>
      </c>
      <c r="AG60" s="33">
        <v>100</v>
      </c>
      <c r="AH60" s="33">
        <v>50</v>
      </c>
      <c r="AI60" s="33">
        <v>50</v>
      </c>
      <c r="AJ60" s="33">
        <v>44</v>
      </c>
      <c r="AK60" s="33">
        <v>6</v>
      </c>
      <c r="AL60" s="44">
        <v>50</v>
      </c>
      <c r="AM60" s="33">
        <v>44</v>
      </c>
      <c r="AN60" s="44">
        <v>6</v>
      </c>
      <c r="AO60" s="44">
        <v>37</v>
      </c>
      <c r="AP60" s="33">
        <v>32</v>
      </c>
      <c r="AQ60" s="33">
        <f>+AO60-AP60</f>
        <v>5</v>
      </c>
      <c r="AR60" s="33"/>
      <c r="AS60" s="33">
        <v>4</v>
      </c>
      <c r="AT60" s="33"/>
      <c r="AU60" s="33"/>
      <c r="AV60" s="33"/>
      <c r="AW60" s="33"/>
      <c r="AX60" s="33"/>
      <c r="AY60" s="33"/>
      <c r="AZ60" s="33"/>
      <c r="BA60" s="33">
        <v>50</v>
      </c>
      <c r="BB60" s="33">
        <v>50</v>
      </c>
      <c r="BC60" s="33">
        <v>42</v>
      </c>
      <c r="BD60" s="33">
        <v>8</v>
      </c>
      <c r="BE60" s="44">
        <v>50</v>
      </c>
      <c r="BF60" s="33">
        <v>42</v>
      </c>
      <c r="BG60" s="44">
        <v>8</v>
      </c>
      <c r="BH60" s="33">
        <v>36</v>
      </c>
      <c r="BI60" s="33">
        <v>31</v>
      </c>
      <c r="BJ60" s="33">
        <v>5</v>
      </c>
      <c r="BK60" s="33"/>
      <c r="BL60" s="33">
        <v>5</v>
      </c>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5"/>
      <c r="CO60" s="35"/>
      <c r="CP60" s="35"/>
      <c r="CQ60" s="35"/>
      <c r="CR60" s="35"/>
      <c r="CS60" s="35"/>
      <c r="CT60" s="35"/>
      <c r="CU60" s="35"/>
      <c r="CV60" s="35"/>
      <c r="CW60" s="35"/>
      <c r="CX60" s="35"/>
      <c r="CY60" s="35"/>
    </row>
    <row r="61" spans="1:103" s="36" customFormat="1" x14ac:dyDescent="0.2">
      <c r="A61" s="58">
        <v>54</v>
      </c>
      <c r="B61" s="14" t="s">
        <v>1429</v>
      </c>
      <c r="C61" s="30" t="s">
        <v>79</v>
      </c>
      <c r="D61" s="30" t="s">
        <v>668</v>
      </c>
      <c r="E61" s="31"/>
      <c r="F61" s="31">
        <v>2010</v>
      </c>
      <c r="G61" s="32" t="s">
        <v>829</v>
      </c>
      <c r="H61" s="41"/>
      <c r="I61" s="31" t="s">
        <v>8</v>
      </c>
      <c r="J61" s="31" t="s">
        <v>36</v>
      </c>
      <c r="K61" s="31" t="s">
        <v>1471</v>
      </c>
      <c r="L61" s="31" t="s">
        <v>32</v>
      </c>
      <c r="M61" s="15" t="s">
        <v>25</v>
      </c>
      <c r="N61" s="31" t="s">
        <v>201</v>
      </c>
      <c r="O61" s="31" t="s">
        <v>404</v>
      </c>
      <c r="P61" s="31"/>
      <c r="Q61" s="31" t="s">
        <v>313</v>
      </c>
      <c r="R61" s="32" t="s">
        <v>841</v>
      </c>
      <c r="S61" s="31" t="s">
        <v>40</v>
      </c>
      <c r="T61" s="31" t="s">
        <v>240</v>
      </c>
      <c r="U61" s="31" t="s">
        <v>354</v>
      </c>
      <c r="V61" s="57">
        <v>10</v>
      </c>
      <c r="W61" s="57" t="str">
        <f t="shared" si="5"/>
        <v>L</v>
      </c>
      <c r="X61" s="31" t="s">
        <v>13</v>
      </c>
      <c r="Y61" s="31" t="s">
        <v>14</v>
      </c>
      <c r="Z61" s="31" t="s">
        <v>158</v>
      </c>
      <c r="AA61" s="31" t="s">
        <v>843</v>
      </c>
      <c r="AB61" s="31" t="s">
        <v>354</v>
      </c>
      <c r="AC61" s="15">
        <v>10</v>
      </c>
      <c r="AD61" s="15" t="str">
        <f t="shared" si="4"/>
        <v>L</v>
      </c>
      <c r="AE61" s="32" t="s">
        <v>507</v>
      </c>
      <c r="AF61" s="31" t="s">
        <v>14</v>
      </c>
      <c r="AG61" s="33">
        <v>58</v>
      </c>
      <c r="AH61" s="33">
        <v>28</v>
      </c>
      <c r="AI61" s="33">
        <v>28</v>
      </c>
      <c r="AJ61" s="33">
        <v>27</v>
      </c>
      <c r="AK61" s="33">
        <v>1</v>
      </c>
      <c r="AL61" s="44">
        <v>28</v>
      </c>
      <c r="AM61" s="33">
        <v>27</v>
      </c>
      <c r="AN61" s="44">
        <v>1</v>
      </c>
      <c r="AO61" s="44">
        <v>7</v>
      </c>
      <c r="AP61" s="33">
        <v>6</v>
      </c>
      <c r="AQ61" s="33">
        <v>1</v>
      </c>
      <c r="AR61" s="33"/>
      <c r="AS61" s="33">
        <v>4</v>
      </c>
      <c r="AT61" s="33"/>
      <c r="AU61" s="33"/>
      <c r="AV61" s="33"/>
      <c r="AW61" s="33"/>
      <c r="AX61" s="33"/>
      <c r="AY61" s="33"/>
      <c r="AZ61" s="33"/>
      <c r="BA61" s="33">
        <v>28</v>
      </c>
      <c r="BB61" s="33">
        <v>30</v>
      </c>
      <c r="BC61" s="33">
        <v>27</v>
      </c>
      <c r="BD61" s="33">
        <v>3</v>
      </c>
      <c r="BE61" s="44">
        <v>30</v>
      </c>
      <c r="BF61" s="33">
        <v>27</v>
      </c>
      <c r="BG61" s="44">
        <v>3</v>
      </c>
      <c r="BH61" s="33">
        <v>5</v>
      </c>
      <c r="BI61" s="33">
        <v>5</v>
      </c>
      <c r="BJ61" s="33">
        <v>0</v>
      </c>
      <c r="BK61" s="33"/>
      <c r="BL61" s="33">
        <v>8</v>
      </c>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5"/>
      <c r="CO61" s="35"/>
      <c r="CP61" s="35"/>
      <c r="CQ61" s="35"/>
      <c r="CR61" s="35"/>
      <c r="CS61" s="35"/>
      <c r="CT61" s="35"/>
      <c r="CU61" s="35"/>
      <c r="CV61" s="35"/>
      <c r="CW61" s="35"/>
      <c r="CX61" s="35"/>
      <c r="CY61" s="35"/>
    </row>
    <row r="62" spans="1:103" s="36" customFormat="1" x14ac:dyDescent="0.2">
      <c r="A62" s="58">
        <v>55</v>
      </c>
      <c r="B62" s="14" t="s">
        <v>1429</v>
      </c>
      <c r="C62" s="30" t="s">
        <v>79</v>
      </c>
      <c r="D62" s="30" t="s">
        <v>814</v>
      </c>
      <c r="E62" s="31"/>
      <c r="F62" s="31">
        <v>2010</v>
      </c>
      <c r="G62" s="32" t="s">
        <v>830</v>
      </c>
      <c r="H62" s="41"/>
      <c r="I62" s="31" t="s">
        <v>8</v>
      </c>
      <c r="J62" s="31" t="s">
        <v>36</v>
      </c>
      <c r="K62" s="31" t="s">
        <v>1471</v>
      </c>
      <c r="L62" s="31" t="s">
        <v>32</v>
      </c>
      <c r="M62" s="15" t="s">
        <v>25</v>
      </c>
      <c r="N62" s="31" t="s">
        <v>201</v>
      </c>
      <c r="O62" s="31" t="s">
        <v>404</v>
      </c>
      <c r="P62" s="31"/>
      <c r="Q62" s="31" t="s">
        <v>313</v>
      </c>
      <c r="R62" s="32" t="s">
        <v>841</v>
      </c>
      <c r="S62" s="31" t="s">
        <v>40</v>
      </c>
      <c r="T62" s="31" t="s">
        <v>240</v>
      </c>
      <c r="U62" s="31" t="s">
        <v>548</v>
      </c>
      <c r="V62" s="57">
        <v>8</v>
      </c>
      <c r="W62" s="57" t="str">
        <f t="shared" si="5"/>
        <v>L</v>
      </c>
      <c r="X62" s="31" t="s">
        <v>13</v>
      </c>
      <c r="Y62" s="31" t="s">
        <v>14</v>
      </c>
      <c r="Z62" s="31" t="s">
        <v>158</v>
      </c>
      <c r="AA62" s="31" t="s">
        <v>844</v>
      </c>
      <c r="AB62" s="31" t="s">
        <v>548</v>
      </c>
      <c r="AC62" s="15">
        <v>10</v>
      </c>
      <c r="AD62" s="15" t="str">
        <f t="shared" si="4"/>
        <v>L</v>
      </c>
      <c r="AE62" s="32" t="s">
        <v>507</v>
      </c>
      <c r="AF62" s="31" t="s">
        <v>14</v>
      </c>
      <c r="AG62" s="33">
        <v>80</v>
      </c>
      <c r="AH62" s="33">
        <v>40</v>
      </c>
      <c r="AI62" s="33">
        <v>40</v>
      </c>
      <c r="AJ62" s="33">
        <v>38</v>
      </c>
      <c r="AK62" s="33">
        <v>2</v>
      </c>
      <c r="AL62" s="44">
        <v>40</v>
      </c>
      <c r="AM62" s="33">
        <v>38</v>
      </c>
      <c r="AN62" s="44">
        <v>2</v>
      </c>
      <c r="AO62" s="44">
        <v>33</v>
      </c>
      <c r="AP62" s="33">
        <v>31</v>
      </c>
      <c r="AQ62" s="33">
        <v>2</v>
      </c>
      <c r="AR62" s="33"/>
      <c r="AS62" s="33">
        <v>4</v>
      </c>
      <c r="AT62" s="33"/>
      <c r="AU62" s="33"/>
      <c r="AV62" s="33"/>
      <c r="AW62" s="33"/>
      <c r="AX62" s="33"/>
      <c r="AY62" s="33"/>
      <c r="AZ62" s="33"/>
      <c r="BA62" s="33">
        <v>40</v>
      </c>
      <c r="BB62" s="33">
        <v>40</v>
      </c>
      <c r="BC62" s="33">
        <v>37</v>
      </c>
      <c r="BD62" s="33">
        <v>3</v>
      </c>
      <c r="BE62" s="44">
        <v>40</v>
      </c>
      <c r="BF62" s="33">
        <v>37</v>
      </c>
      <c r="BG62" s="44">
        <v>3</v>
      </c>
      <c r="BH62" s="33">
        <v>30</v>
      </c>
      <c r="BI62" s="33">
        <v>27</v>
      </c>
      <c r="BJ62" s="33">
        <v>3</v>
      </c>
      <c r="BK62" s="33"/>
      <c r="BL62" s="33">
        <v>5</v>
      </c>
      <c r="BM62" s="33"/>
      <c r="BN62" s="33"/>
      <c r="BO62" s="33"/>
      <c r="BP62" s="33"/>
      <c r="BQ62" s="33"/>
      <c r="BR62" s="33"/>
      <c r="BS62" s="33"/>
      <c r="BT62" s="33">
        <f>13+8+5+3+3+2+3+5+7+12</f>
        <v>61</v>
      </c>
      <c r="BU62" s="33">
        <v>25</v>
      </c>
      <c r="BV62" s="33">
        <v>15</v>
      </c>
      <c r="BW62" s="33">
        <v>6</v>
      </c>
      <c r="BX62" s="33"/>
      <c r="BY62" s="33"/>
      <c r="BZ62" s="33">
        <v>13</v>
      </c>
      <c r="CA62" s="33"/>
      <c r="CB62" s="33"/>
      <c r="CC62" s="33"/>
      <c r="CD62" s="33"/>
      <c r="CE62" s="33"/>
      <c r="CF62" s="33"/>
      <c r="CG62" s="33"/>
      <c r="CH62" s="33"/>
      <c r="CI62" s="33"/>
      <c r="CJ62" s="33"/>
      <c r="CK62" s="33"/>
      <c r="CL62" s="33"/>
      <c r="CM62" s="33"/>
      <c r="CN62" s="35"/>
      <c r="CO62" s="35"/>
      <c r="CP62" s="35"/>
      <c r="CQ62" s="35"/>
      <c r="CR62" s="35"/>
      <c r="CS62" s="35"/>
      <c r="CT62" s="35"/>
      <c r="CU62" s="35"/>
      <c r="CV62" s="35"/>
      <c r="CW62" s="35"/>
      <c r="CX62" s="35"/>
      <c r="CY62" s="35"/>
    </row>
    <row r="63" spans="1:103" s="36" customFormat="1" x14ac:dyDescent="0.2">
      <c r="A63" s="58">
        <v>56</v>
      </c>
      <c r="B63" s="14" t="s">
        <v>1429</v>
      </c>
      <c r="C63" s="30" t="s">
        <v>79</v>
      </c>
      <c r="D63" s="30" t="s">
        <v>29</v>
      </c>
      <c r="E63" s="31"/>
      <c r="F63" s="31">
        <v>2007</v>
      </c>
      <c r="G63" s="32" t="s">
        <v>827</v>
      </c>
      <c r="H63" s="41"/>
      <c r="I63" s="31" t="s">
        <v>8</v>
      </c>
      <c r="J63" s="31" t="s">
        <v>36</v>
      </c>
      <c r="K63" s="31" t="s">
        <v>1471</v>
      </c>
      <c r="L63" s="31" t="s">
        <v>32</v>
      </c>
      <c r="M63" s="15" t="s">
        <v>25</v>
      </c>
      <c r="N63" s="31" t="s">
        <v>201</v>
      </c>
      <c r="O63" s="31" t="s">
        <v>404</v>
      </c>
      <c r="P63" s="31"/>
      <c r="Q63" s="31" t="s">
        <v>313</v>
      </c>
      <c r="R63" s="32" t="s">
        <v>841</v>
      </c>
      <c r="S63" s="31" t="s">
        <v>33</v>
      </c>
      <c r="T63" s="31" t="s">
        <v>405</v>
      </c>
      <c r="U63" s="31" t="s">
        <v>354</v>
      </c>
      <c r="V63" s="57">
        <v>10</v>
      </c>
      <c r="W63" s="57" t="str">
        <f t="shared" si="5"/>
        <v>L</v>
      </c>
      <c r="X63" s="31" t="s">
        <v>13</v>
      </c>
      <c r="Y63" s="31" t="s">
        <v>14</v>
      </c>
      <c r="Z63" s="31" t="s">
        <v>1461</v>
      </c>
      <c r="AA63" s="31" t="s">
        <v>846</v>
      </c>
      <c r="AB63" s="31" t="s">
        <v>354</v>
      </c>
      <c r="AC63" s="15">
        <v>10</v>
      </c>
      <c r="AD63" s="15" t="str">
        <f t="shared" si="4"/>
        <v>L</v>
      </c>
      <c r="AE63" s="32" t="s">
        <v>507</v>
      </c>
      <c r="AF63" s="31" t="s">
        <v>14</v>
      </c>
      <c r="AG63" s="33">
        <v>55</v>
      </c>
      <c r="AH63" s="33">
        <v>30</v>
      </c>
      <c r="AI63" s="33">
        <v>30</v>
      </c>
      <c r="AJ63" s="33">
        <v>28</v>
      </c>
      <c r="AK63" s="33">
        <v>2</v>
      </c>
      <c r="AL63" s="44">
        <v>30</v>
      </c>
      <c r="AM63" s="33">
        <v>28</v>
      </c>
      <c r="AN63" s="44">
        <v>2</v>
      </c>
      <c r="AO63" s="44">
        <v>14</v>
      </c>
      <c r="AP63" s="33">
        <v>13</v>
      </c>
      <c r="AQ63" s="33">
        <v>1</v>
      </c>
      <c r="AR63" s="33"/>
      <c r="AS63" s="33">
        <v>1</v>
      </c>
      <c r="AT63" s="33"/>
      <c r="AU63" s="33"/>
      <c r="AV63" s="33"/>
      <c r="AW63" s="33"/>
      <c r="AX63" s="33"/>
      <c r="AY63" s="33"/>
      <c r="AZ63" s="33"/>
      <c r="BA63" s="33">
        <v>30</v>
      </c>
      <c r="BB63" s="33">
        <v>30</v>
      </c>
      <c r="BC63" s="33">
        <v>23</v>
      </c>
      <c r="BD63" s="33">
        <v>7</v>
      </c>
      <c r="BE63" s="44">
        <v>30</v>
      </c>
      <c r="BF63" s="33">
        <v>23</v>
      </c>
      <c r="BG63" s="44">
        <v>7</v>
      </c>
      <c r="BH63" s="33">
        <v>9</v>
      </c>
      <c r="BI63" s="33">
        <v>8</v>
      </c>
      <c r="BJ63" s="33">
        <v>1</v>
      </c>
      <c r="BK63" s="33"/>
      <c r="BL63" s="33">
        <v>1</v>
      </c>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5"/>
      <c r="CO63" s="35"/>
      <c r="CP63" s="35"/>
      <c r="CQ63" s="35"/>
      <c r="CR63" s="35"/>
      <c r="CS63" s="35"/>
      <c r="CT63" s="35"/>
      <c r="CU63" s="35"/>
      <c r="CV63" s="35"/>
      <c r="CW63" s="35"/>
      <c r="CX63" s="35"/>
      <c r="CY63" s="35"/>
    </row>
    <row r="64" spans="1:103" s="36" customFormat="1" x14ac:dyDescent="0.2">
      <c r="A64" s="58">
        <v>57</v>
      </c>
      <c r="B64" s="14" t="s">
        <v>1429</v>
      </c>
      <c r="C64" s="30" t="s">
        <v>79</v>
      </c>
      <c r="D64" s="30" t="s">
        <v>813</v>
      </c>
      <c r="E64" s="31"/>
      <c r="F64" s="31">
        <v>2008</v>
      </c>
      <c r="G64" s="32" t="s">
        <v>828</v>
      </c>
      <c r="H64" s="41"/>
      <c r="I64" s="31" t="s">
        <v>8</v>
      </c>
      <c r="J64" s="31" t="s">
        <v>36</v>
      </c>
      <c r="K64" s="31" t="s">
        <v>1471</v>
      </c>
      <c r="L64" s="15" t="s">
        <v>68</v>
      </c>
      <c r="M64" s="15" t="s">
        <v>25</v>
      </c>
      <c r="N64" s="31" t="s">
        <v>201</v>
      </c>
      <c r="O64" s="31" t="s">
        <v>404</v>
      </c>
      <c r="P64" s="31"/>
      <c r="Q64" s="31" t="s">
        <v>313</v>
      </c>
      <c r="R64" s="32" t="s">
        <v>841</v>
      </c>
      <c r="S64" s="31" t="s">
        <v>33</v>
      </c>
      <c r="T64" s="31" t="s">
        <v>405</v>
      </c>
      <c r="U64" s="31" t="s">
        <v>845</v>
      </c>
      <c r="V64" s="57">
        <v>12</v>
      </c>
      <c r="W64" s="57" t="str">
        <f t="shared" si="5"/>
        <v>L</v>
      </c>
      <c r="X64" s="31" t="s">
        <v>13</v>
      </c>
      <c r="Y64" s="31" t="s">
        <v>14</v>
      </c>
      <c r="Z64" s="31" t="s">
        <v>1461</v>
      </c>
      <c r="AA64" s="31" t="s">
        <v>847</v>
      </c>
      <c r="AB64" s="31" t="s">
        <v>845</v>
      </c>
      <c r="AC64" s="15">
        <v>12</v>
      </c>
      <c r="AD64" s="15" t="str">
        <f t="shared" si="4"/>
        <v>L</v>
      </c>
      <c r="AE64" s="32" t="s">
        <v>507</v>
      </c>
      <c r="AF64" s="31" t="s">
        <v>14</v>
      </c>
      <c r="AG64" s="33">
        <f>199+199</f>
        <v>398</v>
      </c>
      <c r="AH64" s="33">
        <v>199</v>
      </c>
      <c r="AI64" s="33">
        <v>199</v>
      </c>
      <c r="AJ64" s="33">
        <v>184</v>
      </c>
      <c r="AK64" s="33">
        <f>+AI64-AJ64</f>
        <v>15</v>
      </c>
      <c r="AL64" s="44">
        <v>199</v>
      </c>
      <c r="AM64" s="33">
        <v>184</v>
      </c>
      <c r="AN64" s="44">
        <v>15</v>
      </c>
      <c r="AO64" s="44">
        <v>31</v>
      </c>
      <c r="AP64" s="33">
        <v>30</v>
      </c>
      <c r="AQ64" s="33">
        <v>1</v>
      </c>
      <c r="AR64" s="33"/>
      <c r="AS64" s="33">
        <v>20</v>
      </c>
      <c r="AT64" s="33"/>
      <c r="AU64" s="33"/>
      <c r="AV64" s="33"/>
      <c r="AW64" s="33"/>
      <c r="AX64" s="33"/>
      <c r="AY64" s="33"/>
      <c r="AZ64" s="33"/>
      <c r="BA64" s="33">
        <v>199</v>
      </c>
      <c r="BB64" s="33">
        <v>199</v>
      </c>
      <c r="BC64" s="33">
        <v>181</v>
      </c>
      <c r="BD64" s="33">
        <v>18</v>
      </c>
      <c r="BE64" s="44">
        <v>199</v>
      </c>
      <c r="BF64" s="33">
        <v>181</v>
      </c>
      <c r="BG64" s="44">
        <f>+BE64-BF64</f>
        <v>18</v>
      </c>
      <c r="BH64" s="33">
        <v>30</v>
      </c>
      <c r="BI64" s="33">
        <v>29</v>
      </c>
      <c r="BJ64" s="33">
        <v>1</v>
      </c>
      <c r="BK64" s="33"/>
      <c r="BL64" s="33">
        <v>15</v>
      </c>
      <c r="BM64" s="33"/>
      <c r="BN64" s="33"/>
      <c r="BO64" s="33"/>
      <c r="BP64" s="33"/>
      <c r="BQ64" s="33"/>
      <c r="BR64" s="33"/>
      <c r="BS64" s="33"/>
      <c r="BT64" s="33">
        <f>9+5+4+4+4+2+2+4+8+10</f>
        <v>52</v>
      </c>
      <c r="BU64" s="33">
        <v>19</v>
      </c>
      <c r="BV64" s="33">
        <v>12</v>
      </c>
      <c r="BW64" s="33">
        <v>9</v>
      </c>
      <c r="BX64" s="33"/>
      <c r="BY64" s="33">
        <v>6</v>
      </c>
      <c r="BZ64" s="33"/>
      <c r="CA64" s="33"/>
      <c r="CB64" s="33"/>
      <c r="CC64" s="33"/>
      <c r="CD64" s="33"/>
      <c r="CE64" s="33"/>
      <c r="CF64" s="33"/>
      <c r="CG64" s="33"/>
      <c r="CH64" s="33"/>
      <c r="CI64" s="33"/>
      <c r="CJ64" s="33"/>
      <c r="CK64" s="33"/>
      <c r="CL64" s="33"/>
      <c r="CM64" s="33"/>
      <c r="CN64" s="35"/>
      <c r="CO64" s="35"/>
      <c r="CP64" s="35"/>
      <c r="CQ64" s="35"/>
      <c r="CR64" s="35"/>
      <c r="CS64" s="35"/>
      <c r="CT64" s="35"/>
      <c r="CU64" s="35"/>
      <c r="CV64" s="35"/>
      <c r="CW64" s="35"/>
      <c r="CX64" s="35"/>
      <c r="CY64" s="35"/>
    </row>
    <row r="65" spans="1:103" s="36" customFormat="1" x14ac:dyDescent="0.2">
      <c r="A65" s="58">
        <v>58</v>
      </c>
      <c r="B65" s="14" t="s">
        <v>1429</v>
      </c>
      <c r="C65" s="30" t="s">
        <v>79</v>
      </c>
      <c r="D65" s="30" t="s">
        <v>812</v>
      </c>
      <c r="E65" s="31"/>
      <c r="F65" s="31">
        <v>2009</v>
      </c>
      <c r="G65" s="32" t="s">
        <v>825</v>
      </c>
      <c r="H65" s="41"/>
      <c r="I65" s="31" t="s">
        <v>8</v>
      </c>
      <c r="J65" s="31" t="s">
        <v>36</v>
      </c>
      <c r="K65" s="31" t="s">
        <v>1471</v>
      </c>
      <c r="L65" s="31" t="s">
        <v>32</v>
      </c>
      <c r="M65" s="15" t="s">
        <v>25</v>
      </c>
      <c r="N65" s="31" t="s">
        <v>201</v>
      </c>
      <c r="O65" s="31" t="s">
        <v>404</v>
      </c>
      <c r="P65" s="31"/>
      <c r="Q65" s="31" t="s">
        <v>313</v>
      </c>
      <c r="R65" s="32" t="s">
        <v>841</v>
      </c>
      <c r="S65" s="31" t="s">
        <v>33</v>
      </c>
      <c r="T65" s="31" t="s">
        <v>405</v>
      </c>
      <c r="U65" s="31" t="s">
        <v>845</v>
      </c>
      <c r="V65" s="57">
        <v>12</v>
      </c>
      <c r="W65" s="57" t="str">
        <f t="shared" si="5"/>
        <v>L</v>
      </c>
      <c r="X65" s="31" t="s">
        <v>13</v>
      </c>
      <c r="Y65" s="31" t="s">
        <v>14</v>
      </c>
      <c r="Z65" s="31" t="s">
        <v>1461</v>
      </c>
      <c r="AA65" s="31" t="s">
        <v>843</v>
      </c>
      <c r="AB65" s="31" t="s">
        <v>845</v>
      </c>
      <c r="AC65" s="15">
        <v>12</v>
      </c>
      <c r="AD65" s="15" t="str">
        <f t="shared" si="4"/>
        <v>L</v>
      </c>
      <c r="AE65" s="32" t="s">
        <v>507</v>
      </c>
      <c r="AF65" s="31" t="s">
        <v>14</v>
      </c>
      <c r="AG65" s="33">
        <f>40+35</f>
        <v>75</v>
      </c>
      <c r="AH65" s="33">
        <v>40</v>
      </c>
      <c r="AI65" s="33">
        <v>40</v>
      </c>
      <c r="AJ65" s="33">
        <v>37</v>
      </c>
      <c r="AK65" s="33">
        <v>3</v>
      </c>
      <c r="AL65" s="44">
        <v>40</v>
      </c>
      <c r="AM65" s="33">
        <v>37</v>
      </c>
      <c r="AN65" s="44">
        <v>3</v>
      </c>
      <c r="AO65" s="44">
        <v>19</v>
      </c>
      <c r="AP65" s="33">
        <v>18</v>
      </c>
      <c r="AQ65" s="33">
        <v>1</v>
      </c>
      <c r="AR65" s="33"/>
      <c r="AS65" s="33">
        <v>1</v>
      </c>
      <c r="AT65" s="33"/>
      <c r="AU65" s="33"/>
      <c r="AV65" s="33"/>
      <c r="AW65" s="33"/>
      <c r="AX65" s="33"/>
      <c r="AY65" s="33"/>
      <c r="AZ65" s="33"/>
      <c r="BA65" s="33">
        <v>35</v>
      </c>
      <c r="BB65" s="33">
        <v>35</v>
      </c>
      <c r="BC65" s="33">
        <v>32</v>
      </c>
      <c r="BD65" s="33">
        <v>3</v>
      </c>
      <c r="BE65" s="44">
        <v>35</v>
      </c>
      <c r="BF65" s="33">
        <v>32</v>
      </c>
      <c r="BG65" s="44">
        <v>3</v>
      </c>
      <c r="BH65" s="33">
        <v>32</v>
      </c>
      <c r="BI65" s="33">
        <v>27</v>
      </c>
      <c r="BJ65" s="33">
        <v>5</v>
      </c>
      <c r="BK65" s="33"/>
      <c r="BL65" s="33">
        <v>1</v>
      </c>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5"/>
      <c r="CO65" s="35"/>
      <c r="CP65" s="35"/>
      <c r="CQ65" s="35"/>
      <c r="CR65" s="35"/>
      <c r="CS65" s="35"/>
      <c r="CT65" s="35"/>
      <c r="CU65" s="35"/>
      <c r="CV65" s="35"/>
      <c r="CW65" s="35"/>
      <c r="CX65" s="35"/>
      <c r="CY65" s="35"/>
    </row>
    <row r="66" spans="1:103" s="36" customFormat="1" x14ac:dyDescent="0.2">
      <c r="A66" s="58">
        <v>59</v>
      </c>
      <c r="B66" s="14" t="s">
        <v>1429</v>
      </c>
      <c r="C66" s="30" t="s">
        <v>79</v>
      </c>
      <c r="D66" s="30" t="s">
        <v>811</v>
      </c>
      <c r="E66" s="31"/>
      <c r="F66" s="31">
        <v>2008</v>
      </c>
      <c r="G66" s="32" t="s">
        <v>831</v>
      </c>
      <c r="H66" s="41"/>
      <c r="I66" s="31" t="s">
        <v>8</v>
      </c>
      <c r="J66" s="31" t="s">
        <v>36</v>
      </c>
      <c r="K66" s="31" t="s">
        <v>1471</v>
      </c>
      <c r="L66" s="31" t="s">
        <v>32</v>
      </c>
      <c r="M66" s="15" t="s">
        <v>25</v>
      </c>
      <c r="N66" s="31" t="s">
        <v>201</v>
      </c>
      <c r="O66" s="31" t="s">
        <v>404</v>
      </c>
      <c r="P66" s="31"/>
      <c r="Q66" s="31" t="s">
        <v>313</v>
      </c>
      <c r="R66" s="32" t="s">
        <v>841</v>
      </c>
      <c r="S66" s="31" t="s">
        <v>40</v>
      </c>
      <c r="T66" s="31" t="s">
        <v>240</v>
      </c>
      <c r="U66" s="31" t="s">
        <v>548</v>
      </c>
      <c r="V66" s="57">
        <v>8</v>
      </c>
      <c r="W66" s="57" t="str">
        <f t="shared" si="5"/>
        <v>L</v>
      </c>
      <c r="X66" s="31" t="s">
        <v>13</v>
      </c>
      <c r="Y66" s="31" t="s">
        <v>14</v>
      </c>
      <c r="Z66" s="31" t="s">
        <v>1461</v>
      </c>
      <c r="AA66" s="31" t="s">
        <v>844</v>
      </c>
      <c r="AB66" s="31" t="s">
        <v>548</v>
      </c>
      <c r="AC66" s="15">
        <v>10</v>
      </c>
      <c r="AD66" s="15" t="str">
        <f t="shared" si="4"/>
        <v>L</v>
      </c>
      <c r="AE66" s="32" t="s">
        <v>507</v>
      </c>
      <c r="AF66" s="31" t="s">
        <v>14</v>
      </c>
      <c r="AG66" s="33">
        <f>119+65</f>
        <v>184</v>
      </c>
      <c r="AH66" s="33">
        <v>119</v>
      </c>
      <c r="AI66" s="33">
        <v>119</v>
      </c>
      <c r="AJ66" s="33">
        <v>108</v>
      </c>
      <c r="AK66" s="33">
        <v>11</v>
      </c>
      <c r="AL66" s="44">
        <v>119</v>
      </c>
      <c r="AM66" s="33">
        <v>108</v>
      </c>
      <c r="AN66" s="44">
        <v>11</v>
      </c>
      <c r="AO66" s="44">
        <v>53</v>
      </c>
      <c r="AP66" s="33">
        <v>46</v>
      </c>
      <c r="AQ66" s="33">
        <f>+AO66-AP66</f>
        <v>7</v>
      </c>
      <c r="AR66" s="33"/>
      <c r="AS66" s="33">
        <v>5</v>
      </c>
      <c r="AT66" s="33"/>
      <c r="AU66" s="33"/>
      <c r="AV66" s="33"/>
      <c r="AW66" s="33"/>
      <c r="AX66" s="33"/>
      <c r="AY66" s="33"/>
      <c r="AZ66" s="33"/>
      <c r="BA66" s="33">
        <v>65</v>
      </c>
      <c r="BB66" s="33">
        <v>65</v>
      </c>
      <c r="BC66" s="33">
        <v>47</v>
      </c>
      <c r="BD66" s="33">
        <v>18</v>
      </c>
      <c r="BE66" s="44">
        <v>65</v>
      </c>
      <c r="BF66" s="33">
        <v>47</v>
      </c>
      <c r="BG66" s="44">
        <f>+BE66-BF66</f>
        <v>18</v>
      </c>
      <c r="BH66" s="33">
        <v>25</v>
      </c>
      <c r="BI66" s="33">
        <v>15</v>
      </c>
      <c r="BJ66" s="33">
        <v>10</v>
      </c>
      <c r="BK66" s="33"/>
      <c r="BL66" s="33">
        <v>6</v>
      </c>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5"/>
      <c r="CO66" s="35"/>
      <c r="CP66" s="35"/>
      <c r="CQ66" s="35"/>
      <c r="CR66" s="35"/>
      <c r="CS66" s="35"/>
      <c r="CT66" s="35"/>
      <c r="CU66" s="35"/>
      <c r="CV66" s="35"/>
      <c r="CW66" s="35"/>
      <c r="CX66" s="35"/>
      <c r="CY66" s="35"/>
    </row>
    <row r="67" spans="1:103" s="36" customFormat="1" x14ac:dyDescent="0.2">
      <c r="A67" s="58">
        <v>60</v>
      </c>
      <c r="B67" s="14" t="s">
        <v>1429</v>
      </c>
      <c r="C67" s="30" t="s">
        <v>79</v>
      </c>
      <c r="D67" s="30" t="s">
        <v>810</v>
      </c>
      <c r="E67" s="31"/>
      <c r="F67" s="31">
        <v>2009</v>
      </c>
      <c r="G67" s="32" t="s">
        <v>826</v>
      </c>
      <c r="H67" s="41"/>
      <c r="I67" s="31" t="s">
        <v>8</v>
      </c>
      <c r="J67" s="31" t="s">
        <v>36</v>
      </c>
      <c r="K67" s="31" t="s">
        <v>1471</v>
      </c>
      <c r="L67" s="15" t="s">
        <v>68</v>
      </c>
      <c r="M67" s="15" t="s">
        <v>25</v>
      </c>
      <c r="N67" s="31" t="s">
        <v>201</v>
      </c>
      <c r="O67" s="31" t="s">
        <v>404</v>
      </c>
      <c r="P67" s="31"/>
      <c r="Q67" s="31" t="s">
        <v>313</v>
      </c>
      <c r="R67" s="32" t="s">
        <v>841</v>
      </c>
      <c r="S67" s="31" t="s">
        <v>40</v>
      </c>
      <c r="T67" s="31" t="s">
        <v>240</v>
      </c>
      <c r="U67" s="31" t="s">
        <v>354</v>
      </c>
      <c r="V67" s="57">
        <v>10</v>
      </c>
      <c r="W67" s="57" t="str">
        <f t="shared" si="5"/>
        <v>L</v>
      </c>
      <c r="X67" s="31" t="s">
        <v>13</v>
      </c>
      <c r="Y67" s="31" t="s">
        <v>14</v>
      </c>
      <c r="Z67" s="31" t="s">
        <v>1461</v>
      </c>
      <c r="AA67" s="51" t="s">
        <v>848</v>
      </c>
      <c r="AB67" s="31" t="s">
        <v>354</v>
      </c>
      <c r="AC67" s="15">
        <v>10</v>
      </c>
      <c r="AD67" s="15" t="str">
        <f t="shared" ref="AD67:AD130" si="10">+IF(AC67&lt;6,"S","L")</f>
        <v>L</v>
      </c>
      <c r="AE67" s="32" t="s">
        <v>507</v>
      </c>
      <c r="AF67" s="31" t="s">
        <v>14</v>
      </c>
      <c r="AG67" s="33">
        <f>40+38</f>
        <v>78</v>
      </c>
      <c r="AH67" s="33">
        <v>40</v>
      </c>
      <c r="AI67" s="33">
        <v>40</v>
      </c>
      <c r="AJ67" s="33">
        <v>38</v>
      </c>
      <c r="AK67" s="33">
        <v>2</v>
      </c>
      <c r="AL67" s="44">
        <v>40</v>
      </c>
      <c r="AM67" s="33">
        <v>38</v>
      </c>
      <c r="AN67" s="44">
        <v>2</v>
      </c>
      <c r="AO67" s="44">
        <v>35</v>
      </c>
      <c r="AP67" s="33">
        <v>31</v>
      </c>
      <c r="AQ67" s="33">
        <v>4</v>
      </c>
      <c r="AR67" s="33"/>
      <c r="AS67" s="33">
        <v>3</v>
      </c>
      <c r="AT67" s="33"/>
      <c r="AU67" s="33"/>
      <c r="AV67" s="33"/>
      <c r="AW67" s="33"/>
      <c r="AX67" s="33"/>
      <c r="AY67" s="33"/>
      <c r="AZ67" s="33"/>
      <c r="BA67" s="33">
        <v>38</v>
      </c>
      <c r="BB67" s="33">
        <v>38</v>
      </c>
      <c r="BC67" s="33">
        <v>35</v>
      </c>
      <c r="BD67" s="33">
        <v>3</v>
      </c>
      <c r="BE67" s="44">
        <v>38</v>
      </c>
      <c r="BF67" s="33">
        <v>35</v>
      </c>
      <c r="BG67" s="44">
        <v>3</v>
      </c>
      <c r="BH67" s="33">
        <v>32</v>
      </c>
      <c r="BI67" s="33">
        <v>27</v>
      </c>
      <c r="BJ67" s="33">
        <v>5</v>
      </c>
      <c r="BK67" s="33"/>
      <c r="BL67" s="33">
        <v>3</v>
      </c>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5"/>
      <c r="CO67" s="35"/>
      <c r="CP67" s="35"/>
      <c r="CQ67" s="35"/>
      <c r="CR67" s="35"/>
      <c r="CS67" s="35"/>
      <c r="CT67" s="35"/>
      <c r="CU67" s="35"/>
      <c r="CV67" s="35"/>
      <c r="CW67" s="35"/>
      <c r="CX67" s="35"/>
      <c r="CY67" s="35"/>
    </row>
    <row r="68" spans="1:103" s="19" customFormat="1" ht="18" customHeight="1" x14ac:dyDescent="0.2">
      <c r="A68" s="58">
        <v>61</v>
      </c>
      <c r="B68" s="14" t="s">
        <v>1429</v>
      </c>
      <c r="C68" s="14" t="s">
        <v>79</v>
      </c>
      <c r="D68" s="15" t="s">
        <v>856</v>
      </c>
      <c r="E68" s="15"/>
      <c r="F68" s="15">
        <v>1987</v>
      </c>
      <c r="G68" s="52" t="s">
        <v>869</v>
      </c>
      <c r="H68" s="24" t="s">
        <v>875</v>
      </c>
      <c r="I68" s="15" t="s">
        <v>8</v>
      </c>
      <c r="J68" s="15" t="s">
        <v>860</v>
      </c>
      <c r="K68" s="15" t="s">
        <v>366</v>
      </c>
      <c r="L68" s="15" t="s">
        <v>31</v>
      </c>
      <c r="M68" s="15" t="s">
        <v>25</v>
      </c>
      <c r="N68" s="15" t="s">
        <v>201</v>
      </c>
      <c r="O68" s="17" t="s">
        <v>404</v>
      </c>
      <c r="P68" s="15" t="s">
        <v>285</v>
      </c>
      <c r="Q68" s="15" t="s">
        <v>313</v>
      </c>
      <c r="R68" s="16" t="s">
        <v>879</v>
      </c>
      <c r="S68" s="15" t="s">
        <v>864</v>
      </c>
      <c r="T68" s="15" t="s">
        <v>868</v>
      </c>
      <c r="U68" s="15">
        <v>10</v>
      </c>
      <c r="V68" s="57">
        <f t="shared" ref="V68:V127" si="11">+U68</f>
        <v>10</v>
      </c>
      <c r="W68" s="57" t="str">
        <f t="shared" si="5"/>
        <v>L</v>
      </c>
      <c r="X68" s="15" t="s">
        <v>865</v>
      </c>
      <c r="Y68" s="15" t="s">
        <v>14</v>
      </c>
      <c r="Z68" s="31" t="s">
        <v>1462</v>
      </c>
      <c r="AA68" s="15" t="s">
        <v>866</v>
      </c>
      <c r="AB68" s="15">
        <v>10</v>
      </c>
      <c r="AC68" s="15">
        <f t="shared" ref="AC68:AC127" si="12">+AB68</f>
        <v>10</v>
      </c>
      <c r="AD68" s="15" t="str">
        <f t="shared" si="10"/>
        <v>L</v>
      </c>
      <c r="AE68" s="15" t="s">
        <v>13</v>
      </c>
      <c r="AF68" s="15" t="s">
        <v>14</v>
      </c>
      <c r="AG68" s="17">
        <f>69+62</f>
        <v>131</v>
      </c>
      <c r="AH68" s="17">
        <v>69</v>
      </c>
      <c r="AI68" s="17">
        <v>69</v>
      </c>
      <c r="AJ68" s="17">
        <v>62</v>
      </c>
      <c r="AK68" s="17">
        <f>+AI68-AJ68</f>
        <v>7</v>
      </c>
      <c r="AL68" s="47">
        <v>69</v>
      </c>
      <c r="AM68" s="17">
        <v>62</v>
      </c>
      <c r="AN68" s="47">
        <f>+AL68-AM68</f>
        <v>7</v>
      </c>
      <c r="AO68" s="47"/>
      <c r="AP68" s="17"/>
      <c r="AQ68" s="17"/>
      <c r="AR68" s="17"/>
      <c r="AS68" s="17"/>
      <c r="AT68" s="17"/>
      <c r="AU68" s="17"/>
      <c r="AV68" s="17"/>
      <c r="AW68" s="17"/>
      <c r="AX68" s="17"/>
      <c r="AY68" s="17"/>
      <c r="AZ68" s="17"/>
      <c r="BA68" s="17">
        <v>62</v>
      </c>
      <c r="BB68" s="17">
        <v>62</v>
      </c>
      <c r="BC68" s="17">
        <v>60</v>
      </c>
      <c r="BD68" s="17">
        <v>2</v>
      </c>
      <c r="BE68" s="47">
        <v>62</v>
      </c>
      <c r="BF68" s="17">
        <v>60</v>
      </c>
      <c r="BG68" s="47">
        <f>+BE68-BF68</f>
        <v>2</v>
      </c>
      <c r="BH68" s="17"/>
      <c r="BI68" s="17"/>
      <c r="BJ68" s="17"/>
      <c r="BK68" s="17"/>
      <c r="BL68" s="17"/>
      <c r="BM68" s="17"/>
      <c r="BN68" s="17"/>
      <c r="BO68" s="17"/>
      <c r="BP68" s="17"/>
      <c r="BQ68" s="17"/>
      <c r="BR68" s="17"/>
      <c r="BS68" s="17"/>
      <c r="BT68" s="17"/>
      <c r="BU68" s="17"/>
      <c r="BV68" s="17"/>
      <c r="BW68" s="17"/>
      <c r="BX68" s="17"/>
      <c r="BY68" s="17"/>
      <c r="BZ68" s="17"/>
      <c r="CA68" s="17"/>
      <c r="CB68" s="17"/>
      <c r="CC68" s="17"/>
      <c r="CD68" s="17" t="s">
        <v>882</v>
      </c>
      <c r="CE68" s="17"/>
      <c r="CF68" s="17"/>
      <c r="CG68" s="17"/>
      <c r="CH68" s="17"/>
      <c r="CI68" s="17"/>
      <c r="CJ68" s="17"/>
      <c r="CK68" s="17"/>
      <c r="CL68" s="17"/>
      <c r="CM68" s="17"/>
      <c r="CN68" s="18"/>
      <c r="CO68" s="18"/>
      <c r="CP68" s="18"/>
      <c r="CQ68" s="18"/>
      <c r="CR68" s="18"/>
      <c r="CS68" s="18"/>
      <c r="CT68" s="18"/>
      <c r="CU68" s="18"/>
      <c r="CV68" s="18"/>
      <c r="CW68" s="18"/>
      <c r="CX68" s="18"/>
      <c r="CY68" s="18"/>
    </row>
    <row r="69" spans="1:103" s="19" customFormat="1" x14ac:dyDescent="0.2">
      <c r="A69" s="58">
        <v>62</v>
      </c>
      <c r="B69" s="14" t="s">
        <v>1429</v>
      </c>
      <c r="C69" s="14" t="s">
        <v>79</v>
      </c>
      <c r="D69" s="15" t="s">
        <v>857</v>
      </c>
      <c r="E69" s="15"/>
      <c r="F69" s="15">
        <v>1988</v>
      </c>
      <c r="G69" s="16" t="s">
        <v>870</v>
      </c>
      <c r="H69" s="24" t="s">
        <v>876</v>
      </c>
      <c r="I69" s="15" t="s">
        <v>8</v>
      </c>
      <c r="J69" s="15" t="s">
        <v>861</v>
      </c>
      <c r="K69" s="15" t="s">
        <v>366</v>
      </c>
      <c r="L69" s="15" t="s">
        <v>31</v>
      </c>
      <c r="M69" s="15" t="s">
        <v>11</v>
      </c>
      <c r="N69" s="15" t="s">
        <v>201</v>
      </c>
      <c r="O69" s="17" t="s">
        <v>404</v>
      </c>
      <c r="P69" s="15" t="s">
        <v>285</v>
      </c>
      <c r="Q69" s="15"/>
      <c r="R69" s="16" t="s">
        <v>879</v>
      </c>
      <c r="S69" s="15" t="s">
        <v>864</v>
      </c>
      <c r="T69" s="15" t="s">
        <v>757</v>
      </c>
      <c r="U69" s="15">
        <v>9</v>
      </c>
      <c r="V69" s="57">
        <f t="shared" si="11"/>
        <v>9</v>
      </c>
      <c r="W69" s="57" t="str">
        <f t="shared" si="5"/>
        <v>L</v>
      </c>
      <c r="X69" s="15" t="s">
        <v>865</v>
      </c>
      <c r="Y69" s="15" t="s">
        <v>14</v>
      </c>
      <c r="Z69" s="31" t="s">
        <v>1463</v>
      </c>
      <c r="AA69" s="15" t="s">
        <v>692</v>
      </c>
      <c r="AB69" s="15">
        <v>4.5</v>
      </c>
      <c r="AC69" s="15">
        <v>5</v>
      </c>
      <c r="AD69" s="15" t="str">
        <f t="shared" si="10"/>
        <v>S</v>
      </c>
      <c r="AE69" s="15" t="s">
        <v>13</v>
      </c>
      <c r="AF69" s="15" t="s">
        <v>14</v>
      </c>
      <c r="AG69" s="17">
        <v>191</v>
      </c>
      <c r="AH69" s="17">
        <v>100</v>
      </c>
      <c r="AI69" s="17">
        <v>55</v>
      </c>
      <c r="AJ69" s="17">
        <v>46</v>
      </c>
      <c r="AK69" s="17">
        <f t="shared" ref="AK69:AK73" si="13">+AI69-AJ69</f>
        <v>9</v>
      </c>
      <c r="AL69" s="47">
        <v>55</v>
      </c>
      <c r="AM69" s="17">
        <v>46</v>
      </c>
      <c r="AN69" s="47">
        <f t="shared" ref="AN69:AN73" si="14">+AL69-AM69</f>
        <v>9</v>
      </c>
      <c r="AO69" s="47"/>
      <c r="AP69" s="17"/>
      <c r="AQ69" s="17"/>
      <c r="AR69" s="17"/>
      <c r="AS69" s="17">
        <v>11</v>
      </c>
      <c r="AT69" s="17"/>
      <c r="AU69" s="17"/>
      <c r="AV69" s="17"/>
      <c r="AW69" s="17"/>
      <c r="AX69" s="17"/>
      <c r="AY69" s="17"/>
      <c r="AZ69" s="17"/>
      <c r="BA69" s="17">
        <v>91</v>
      </c>
      <c r="BB69" s="17">
        <v>49</v>
      </c>
      <c r="BC69" s="17">
        <v>37</v>
      </c>
      <c r="BD69" s="17">
        <v>12</v>
      </c>
      <c r="BE69" s="47">
        <v>49</v>
      </c>
      <c r="BF69" s="17">
        <v>37</v>
      </c>
      <c r="BG69" s="47">
        <f t="shared" ref="BG69:BG73" si="15">+BE69-BF69</f>
        <v>12</v>
      </c>
      <c r="BH69" s="17"/>
      <c r="BI69" s="17"/>
      <c r="BJ69" s="17"/>
      <c r="BK69" s="17"/>
      <c r="BL69" s="17">
        <v>12</v>
      </c>
      <c r="BM69" s="17"/>
      <c r="BN69" s="17"/>
      <c r="BO69" s="17"/>
      <c r="BP69" s="17"/>
      <c r="BQ69" s="17"/>
      <c r="BR69" s="17"/>
      <c r="BS69" s="17"/>
      <c r="BT69" s="17"/>
      <c r="BU69" s="17"/>
      <c r="BV69" s="17"/>
      <c r="BW69" s="17"/>
      <c r="BX69" s="17"/>
      <c r="BY69" s="17"/>
      <c r="BZ69" s="17"/>
      <c r="CA69" s="17"/>
      <c r="CB69" s="17"/>
      <c r="CC69" s="17"/>
      <c r="CD69" s="17" t="s">
        <v>882</v>
      </c>
      <c r="CE69" s="17"/>
      <c r="CF69" s="17"/>
      <c r="CG69" s="17"/>
      <c r="CH69" s="17"/>
      <c r="CI69" s="17"/>
      <c r="CJ69" s="17"/>
      <c r="CK69" s="17"/>
      <c r="CL69" s="17"/>
      <c r="CM69" s="17"/>
      <c r="CN69" s="18"/>
      <c r="CO69" s="18"/>
      <c r="CP69" s="18"/>
      <c r="CQ69" s="18"/>
      <c r="CR69" s="18"/>
      <c r="CS69" s="18"/>
      <c r="CT69" s="18"/>
      <c r="CU69" s="18"/>
      <c r="CV69" s="18"/>
      <c r="CW69" s="18"/>
      <c r="CX69" s="18"/>
      <c r="CY69" s="18"/>
    </row>
    <row r="70" spans="1:103" s="19" customFormat="1" x14ac:dyDescent="0.2">
      <c r="A70" s="58">
        <v>63</v>
      </c>
      <c r="B70" s="14" t="s">
        <v>1429</v>
      </c>
      <c r="C70" s="14" t="s">
        <v>79</v>
      </c>
      <c r="D70" s="15" t="s">
        <v>858</v>
      </c>
      <c r="E70" s="15"/>
      <c r="F70" s="15">
        <v>1988</v>
      </c>
      <c r="G70" s="16" t="s">
        <v>871</v>
      </c>
      <c r="H70" s="16"/>
      <c r="I70" s="15" t="s">
        <v>8</v>
      </c>
      <c r="J70" s="15" t="s">
        <v>66</v>
      </c>
      <c r="K70" s="15" t="s">
        <v>366</v>
      </c>
      <c r="L70" s="15" t="s">
        <v>31</v>
      </c>
      <c r="M70" s="15" t="s">
        <v>25</v>
      </c>
      <c r="N70" s="15" t="s">
        <v>201</v>
      </c>
      <c r="O70" s="17" t="s">
        <v>404</v>
      </c>
      <c r="P70" s="15" t="s">
        <v>285</v>
      </c>
      <c r="Q70" s="15" t="s">
        <v>313</v>
      </c>
      <c r="R70" s="16" t="s">
        <v>879</v>
      </c>
      <c r="S70" s="15" t="s">
        <v>864</v>
      </c>
      <c r="T70" s="15" t="s">
        <v>757</v>
      </c>
      <c r="U70" s="15">
        <v>5</v>
      </c>
      <c r="V70" s="57">
        <f t="shared" si="11"/>
        <v>5</v>
      </c>
      <c r="W70" s="57" t="str">
        <f t="shared" si="5"/>
        <v>S</v>
      </c>
      <c r="X70" s="15" t="s">
        <v>865</v>
      </c>
      <c r="Y70" s="15" t="s">
        <v>14</v>
      </c>
      <c r="Z70" s="31" t="s">
        <v>61</v>
      </c>
      <c r="AA70" s="15" t="s">
        <v>867</v>
      </c>
      <c r="AB70" s="15">
        <v>5</v>
      </c>
      <c r="AC70" s="15">
        <f t="shared" si="12"/>
        <v>5</v>
      </c>
      <c r="AD70" s="15" t="str">
        <f t="shared" si="10"/>
        <v>S</v>
      </c>
      <c r="AE70" s="15" t="s">
        <v>13</v>
      </c>
      <c r="AF70" s="15" t="s">
        <v>14</v>
      </c>
      <c r="AG70" s="17">
        <f>75+63</f>
        <v>138</v>
      </c>
      <c r="AH70" s="17">
        <v>75</v>
      </c>
      <c r="AI70" s="17">
        <v>75</v>
      </c>
      <c r="AJ70" s="17">
        <v>65</v>
      </c>
      <c r="AK70" s="17">
        <f t="shared" si="13"/>
        <v>10</v>
      </c>
      <c r="AL70" s="47">
        <v>75</v>
      </c>
      <c r="AM70" s="17">
        <v>65</v>
      </c>
      <c r="AN70" s="47">
        <f t="shared" si="14"/>
        <v>10</v>
      </c>
      <c r="AO70" s="47"/>
      <c r="AP70" s="17"/>
      <c r="AQ70" s="17"/>
      <c r="AR70" s="17"/>
      <c r="AS70" s="17"/>
      <c r="AT70" s="17"/>
      <c r="AU70" s="17"/>
      <c r="AV70" s="17"/>
      <c r="AW70" s="17"/>
      <c r="AX70" s="17"/>
      <c r="AY70" s="17"/>
      <c r="AZ70" s="17"/>
      <c r="BA70" s="17">
        <v>63</v>
      </c>
      <c r="BB70" s="17">
        <v>63</v>
      </c>
      <c r="BC70" s="17">
        <v>57</v>
      </c>
      <c r="BD70" s="17">
        <v>6</v>
      </c>
      <c r="BE70" s="47">
        <v>63</v>
      </c>
      <c r="BF70" s="17">
        <v>57</v>
      </c>
      <c r="BG70" s="47">
        <f t="shared" si="15"/>
        <v>6</v>
      </c>
      <c r="BH70" s="17"/>
      <c r="BI70" s="17"/>
      <c r="BJ70" s="17"/>
      <c r="BK70" s="17"/>
      <c r="BL70" s="17"/>
      <c r="BM70" s="17"/>
      <c r="BN70" s="17"/>
      <c r="BO70" s="17"/>
      <c r="BP70" s="17"/>
      <c r="BQ70" s="17"/>
      <c r="BR70" s="17"/>
      <c r="BS70" s="17"/>
      <c r="BT70" s="17"/>
      <c r="BU70" s="17"/>
      <c r="BV70" s="17"/>
      <c r="BW70" s="17"/>
      <c r="BX70" s="17"/>
      <c r="BY70" s="17"/>
      <c r="BZ70" s="17"/>
      <c r="CA70" s="17"/>
      <c r="CB70" s="17"/>
      <c r="CC70" s="17"/>
      <c r="CD70" s="17" t="s">
        <v>882</v>
      </c>
      <c r="CE70" s="17"/>
      <c r="CF70" s="17"/>
      <c r="CG70" s="17"/>
      <c r="CH70" s="17"/>
      <c r="CI70" s="17"/>
      <c r="CJ70" s="17"/>
      <c r="CK70" s="17"/>
      <c r="CL70" s="17"/>
      <c r="CM70" s="17"/>
      <c r="CN70" s="18"/>
      <c r="CO70" s="18"/>
      <c r="CP70" s="18"/>
      <c r="CQ70" s="18"/>
      <c r="CR70" s="18"/>
      <c r="CS70" s="18"/>
      <c r="CT70" s="18"/>
      <c r="CU70" s="18"/>
      <c r="CV70" s="18"/>
      <c r="CW70" s="18"/>
      <c r="CX70" s="18"/>
      <c r="CY70" s="18"/>
    </row>
    <row r="71" spans="1:103" s="19" customFormat="1" x14ac:dyDescent="0.2">
      <c r="A71" s="58">
        <v>64</v>
      </c>
      <c r="B71" s="14" t="s">
        <v>1429</v>
      </c>
      <c r="C71" s="14" t="s">
        <v>79</v>
      </c>
      <c r="D71" s="15" t="s">
        <v>859</v>
      </c>
      <c r="E71" s="15"/>
      <c r="F71" s="15">
        <v>1993</v>
      </c>
      <c r="G71" s="16" t="s">
        <v>872</v>
      </c>
      <c r="H71" s="16"/>
      <c r="I71" s="15" t="s">
        <v>8</v>
      </c>
      <c r="J71" s="15" t="s">
        <v>862</v>
      </c>
      <c r="K71" s="15" t="s">
        <v>366</v>
      </c>
      <c r="L71" s="15" t="s">
        <v>31</v>
      </c>
      <c r="M71" s="15" t="s">
        <v>11</v>
      </c>
      <c r="N71" s="15" t="s">
        <v>201</v>
      </c>
      <c r="O71" s="17" t="s">
        <v>404</v>
      </c>
      <c r="P71" s="15" t="s">
        <v>285</v>
      </c>
      <c r="Q71" s="15"/>
      <c r="R71" s="16" t="s">
        <v>879</v>
      </c>
      <c r="S71" s="15" t="s">
        <v>864</v>
      </c>
      <c r="T71" s="15" t="s">
        <v>868</v>
      </c>
      <c r="U71" s="15" t="s">
        <v>354</v>
      </c>
      <c r="V71" s="57">
        <v>10</v>
      </c>
      <c r="W71" s="57" t="str">
        <f t="shared" ref="W71:W134" si="16">+IF(V71&lt;6,"S","L")</f>
        <v>L</v>
      </c>
      <c r="X71" s="15" t="s">
        <v>865</v>
      </c>
      <c r="Y71" s="15" t="s">
        <v>14</v>
      </c>
      <c r="Z71" s="31" t="s">
        <v>198</v>
      </c>
      <c r="AA71" s="15" t="s">
        <v>240</v>
      </c>
      <c r="AB71" s="15" t="s">
        <v>354</v>
      </c>
      <c r="AC71" s="15">
        <v>10</v>
      </c>
      <c r="AD71" s="15" t="str">
        <f t="shared" si="10"/>
        <v>L</v>
      </c>
      <c r="AE71" s="15" t="s">
        <v>13</v>
      </c>
      <c r="AF71" s="15" t="s">
        <v>14</v>
      </c>
      <c r="AG71" s="17">
        <f>13+11</f>
        <v>24</v>
      </c>
      <c r="AH71" s="17">
        <v>13</v>
      </c>
      <c r="AI71" s="17">
        <v>13</v>
      </c>
      <c r="AJ71" s="17">
        <v>12</v>
      </c>
      <c r="AK71" s="17">
        <f t="shared" si="13"/>
        <v>1</v>
      </c>
      <c r="AL71" s="47">
        <v>13</v>
      </c>
      <c r="AM71" s="17">
        <v>12</v>
      </c>
      <c r="AN71" s="47">
        <f t="shared" si="14"/>
        <v>1</v>
      </c>
      <c r="AO71" s="47"/>
      <c r="AP71" s="17"/>
      <c r="AQ71" s="17"/>
      <c r="AR71" s="17"/>
      <c r="AS71" s="17"/>
      <c r="AT71" s="17"/>
      <c r="AU71" s="17"/>
      <c r="AV71" s="17"/>
      <c r="AW71" s="17"/>
      <c r="AX71" s="17"/>
      <c r="AY71" s="17"/>
      <c r="AZ71" s="17"/>
      <c r="BA71" s="17">
        <v>11</v>
      </c>
      <c r="BB71" s="17">
        <v>11</v>
      </c>
      <c r="BC71" s="17">
        <v>9</v>
      </c>
      <c r="BD71" s="17">
        <v>2</v>
      </c>
      <c r="BE71" s="47">
        <v>11</v>
      </c>
      <c r="BF71" s="17">
        <v>9</v>
      </c>
      <c r="BG71" s="47">
        <f t="shared" si="15"/>
        <v>2</v>
      </c>
      <c r="BH71" s="17"/>
      <c r="BI71" s="17"/>
      <c r="BJ71" s="17"/>
      <c r="BK71" s="17"/>
      <c r="BL71" s="17"/>
      <c r="BM71" s="17"/>
      <c r="BN71" s="17"/>
      <c r="BO71" s="17"/>
      <c r="BP71" s="17"/>
      <c r="BQ71" s="17"/>
      <c r="BR71" s="17"/>
      <c r="BS71" s="17"/>
      <c r="BT71" s="17"/>
      <c r="BU71" s="17"/>
      <c r="BV71" s="17"/>
      <c r="BW71" s="17"/>
      <c r="BX71" s="17"/>
      <c r="BY71" s="17"/>
      <c r="BZ71" s="17"/>
      <c r="CA71" s="17"/>
      <c r="CB71" s="17"/>
      <c r="CC71" s="17"/>
      <c r="CD71" s="17" t="s">
        <v>882</v>
      </c>
      <c r="CE71" s="17"/>
      <c r="CF71" s="17"/>
      <c r="CG71" s="17"/>
      <c r="CH71" s="17"/>
      <c r="CI71" s="17"/>
      <c r="CJ71" s="17"/>
      <c r="CK71" s="17"/>
      <c r="CL71" s="17"/>
      <c r="CM71" s="17"/>
      <c r="CN71" s="18"/>
      <c r="CO71" s="18"/>
      <c r="CP71" s="18"/>
      <c r="CQ71" s="18"/>
      <c r="CR71" s="18"/>
      <c r="CS71" s="18"/>
      <c r="CT71" s="18"/>
      <c r="CU71" s="18"/>
      <c r="CV71" s="18"/>
      <c r="CW71" s="18"/>
      <c r="CX71" s="18"/>
      <c r="CY71" s="18"/>
    </row>
    <row r="72" spans="1:103" s="19" customFormat="1" x14ac:dyDescent="0.2">
      <c r="A72" s="58">
        <v>65</v>
      </c>
      <c r="B72" s="14" t="s">
        <v>1429</v>
      </c>
      <c r="C72" s="14" t="s">
        <v>79</v>
      </c>
      <c r="D72" s="15" t="s">
        <v>224</v>
      </c>
      <c r="E72" s="15"/>
      <c r="F72" s="15">
        <v>1997</v>
      </c>
      <c r="G72" s="16" t="s">
        <v>873</v>
      </c>
      <c r="H72" s="24" t="s">
        <v>877</v>
      </c>
      <c r="I72" s="15" t="s">
        <v>8</v>
      </c>
      <c r="J72" s="16" t="s">
        <v>863</v>
      </c>
      <c r="K72" s="16" t="s">
        <v>366</v>
      </c>
      <c r="L72" s="15" t="s">
        <v>31</v>
      </c>
      <c r="M72" s="15" t="s">
        <v>333</v>
      </c>
      <c r="N72" s="15" t="s">
        <v>201</v>
      </c>
      <c r="O72" s="17" t="s">
        <v>404</v>
      </c>
      <c r="P72" s="15" t="s">
        <v>285</v>
      </c>
      <c r="Q72" s="15" t="s">
        <v>313</v>
      </c>
      <c r="R72" s="16" t="s">
        <v>879</v>
      </c>
      <c r="S72" s="15" t="s">
        <v>864</v>
      </c>
      <c r="T72" s="15" t="s">
        <v>868</v>
      </c>
      <c r="U72" s="15">
        <v>10</v>
      </c>
      <c r="V72" s="57">
        <f t="shared" si="11"/>
        <v>10</v>
      </c>
      <c r="W72" s="57" t="str">
        <f t="shared" si="16"/>
        <v>L</v>
      </c>
      <c r="X72" s="15" t="s">
        <v>865</v>
      </c>
      <c r="Y72" s="15" t="s">
        <v>14</v>
      </c>
      <c r="Z72" s="31" t="s">
        <v>1464</v>
      </c>
      <c r="AA72" s="15" t="s">
        <v>240</v>
      </c>
      <c r="AB72" s="15">
        <v>10</v>
      </c>
      <c r="AC72" s="15">
        <f t="shared" si="12"/>
        <v>10</v>
      </c>
      <c r="AD72" s="15" t="str">
        <f t="shared" si="10"/>
        <v>L</v>
      </c>
      <c r="AE72" s="15" t="s">
        <v>13</v>
      </c>
      <c r="AF72" s="15" t="s">
        <v>14</v>
      </c>
      <c r="AG72" s="17">
        <f>209+205</f>
        <v>414</v>
      </c>
      <c r="AH72" s="17">
        <v>209</v>
      </c>
      <c r="AI72" s="17">
        <v>190</v>
      </c>
      <c r="AJ72" s="17">
        <v>162</v>
      </c>
      <c r="AK72" s="17">
        <f t="shared" si="13"/>
        <v>28</v>
      </c>
      <c r="AL72" s="47">
        <v>190</v>
      </c>
      <c r="AM72" s="17">
        <v>162</v>
      </c>
      <c r="AN72" s="47">
        <f t="shared" si="14"/>
        <v>28</v>
      </c>
      <c r="AO72" s="47"/>
      <c r="AP72" s="17"/>
      <c r="AQ72" s="17"/>
      <c r="AR72" s="17"/>
      <c r="AS72" s="17">
        <v>71</v>
      </c>
      <c r="AT72" s="17"/>
      <c r="AU72" s="17"/>
      <c r="AV72" s="17"/>
      <c r="AW72" s="17"/>
      <c r="AX72" s="17"/>
      <c r="AY72" s="17"/>
      <c r="AZ72" s="17"/>
      <c r="BA72" s="17">
        <v>205</v>
      </c>
      <c r="BB72" s="17">
        <v>182</v>
      </c>
      <c r="BC72" s="17">
        <v>137</v>
      </c>
      <c r="BD72" s="17">
        <v>45</v>
      </c>
      <c r="BE72" s="47">
        <v>182</v>
      </c>
      <c r="BF72" s="17">
        <v>137</v>
      </c>
      <c r="BG72" s="47">
        <f t="shared" si="15"/>
        <v>45</v>
      </c>
      <c r="BH72" s="17"/>
      <c r="BI72" s="17"/>
      <c r="BJ72" s="17"/>
      <c r="BK72" s="17"/>
      <c r="BL72" s="17">
        <v>80</v>
      </c>
      <c r="BM72" s="17"/>
      <c r="BN72" s="17"/>
      <c r="BO72" s="17"/>
      <c r="BP72" s="17"/>
      <c r="BQ72" s="17"/>
      <c r="BR72" s="17"/>
      <c r="BS72" s="17"/>
      <c r="BT72" s="17"/>
      <c r="BU72" s="17"/>
      <c r="BV72" s="17"/>
      <c r="BW72" s="17"/>
      <c r="BX72" s="17"/>
      <c r="BY72" s="17"/>
      <c r="BZ72" s="17"/>
      <c r="CA72" s="17"/>
      <c r="CB72" s="17"/>
      <c r="CC72" s="17"/>
      <c r="CD72" s="17" t="s">
        <v>881</v>
      </c>
      <c r="CE72" s="17"/>
      <c r="CF72" s="17"/>
      <c r="CG72" s="17"/>
      <c r="CH72" s="17"/>
      <c r="CI72" s="17"/>
      <c r="CJ72" s="17"/>
      <c r="CK72" s="17"/>
      <c r="CL72" s="17"/>
      <c r="CM72" s="17"/>
      <c r="CN72" s="18"/>
      <c r="CO72" s="18"/>
      <c r="CP72" s="18"/>
      <c r="CQ72" s="18"/>
      <c r="CR72" s="18"/>
      <c r="CS72" s="18"/>
      <c r="CT72" s="18"/>
      <c r="CU72" s="18"/>
      <c r="CV72" s="18"/>
      <c r="CW72" s="18"/>
      <c r="CX72" s="18"/>
      <c r="CY72" s="18"/>
    </row>
    <row r="73" spans="1:103" s="19" customFormat="1" x14ac:dyDescent="0.2">
      <c r="A73" s="58">
        <v>66</v>
      </c>
      <c r="B73" s="14" t="s">
        <v>1429</v>
      </c>
      <c r="C73" s="14" t="s">
        <v>79</v>
      </c>
      <c r="D73" s="15" t="s">
        <v>166</v>
      </c>
      <c r="E73" s="15"/>
      <c r="F73" s="15">
        <v>2010</v>
      </c>
      <c r="G73" s="16" t="s">
        <v>874</v>
      </c>
      <c r="H73" s="24" t="s">
        <v>878</v>
      </c>
      <c r="I73" s="15" t="s">
        <v>8</v>
      </c>
      <c r="J73" s="15" t="s">
        <v>35</v>
      </c>
      <c r="K73" s="15" t="s">
        <v>1472</v>
      </c>
      <c r="L73" s="15" t="s">
        <v>68</v>
      </c>
      <c r="M73" s="15" t="s">
        <v>25</v>
      </c>
      <c r="N73" s="15" t="s">
        <v>201</v>
      </c>
      <c r="O73" s="17" t="s">
        <v>404</v>
      </c>
      <c r="P73" s="15" t="s">
        <v>285</v>
      </c>
      <c r="Q73" s="15" t="s">
        <v>313</v>
      </c>
      <c r="R73" s="16" t="s">
        <v>879</v>
      </c>
      <c r="S73" s="15" t="s">
        <v>864</v>
      </c>
      <c r="T73" s="15" t="s">
        <v>868</v>
      </c>
      <c r="U73" s="15">
        <v>10</v>
      </c>
      <c r="V73" s="57">
        <f t="shared" si="11"/>
        <v>10</v>
      </c>
      <c r="W73" s="57" t="str">
        <f t="shared" si="16"/>
        <v>L</v>
      </c>
      <c r="X73" s="15" t="s">
        <v>865</v>
      </c>
      <c r="Y73" s="15" t="s">
        <v>14</v>
      </c>
      <c r="Z73" s="31" t="s">
        <v>33</v>
      </c>
      <c r="AA73" s="15" t="s">
        <v>34</v>
      </c>
      <c r="AB73" s="15">
        <v>10</v>
      </c>
      <c r="AC73" s="15">
        <f t="shared" si="12"/>
        <v>10</v>
      </c>
      <c r="AD73" s="15" t="str">
        <f t="shared" si="10"/>
        <v>L</v>
      </c>
      <c r="AE73" s="15" t="s">
        <v>13</v>
      </c>
      <c r="AF73" s="15" t="s">
        <v>14</v>
      </c>
      <c r="AG73" s="17">
        <v>65</v>
      </c>
      <c r="AH73" s="17">
        <v>36</v>
      </c>
      <c r="AI73" s="17">
        <v>35</v>
      </c>
      <c r="AJ73" s="17">
        <v>34</v>
      </c>
      <c r="AK73" s="17">
        <f t="shared" si="13"/>
        <v>1</v>
      </c>
      <c r="AL73" s="47">
        <v>35</v>
      </c>
      <c r="AM73" s="17">
        <v>34</v>
      </c>
      <c r="AN73" s="47">
        <f t="shared" si="14"/>
        <v>1</v>
      </c>
      <c r="AO73" s="47"/>
      <c r="AP73" s="17"/>
      <c r="AQ73" s="17"/>
      <c r="AR73" s="17"/>
      <c r="AS73" s="17"/>
      <c r="AT73" s="17"/>
      <c r="AU73" s="17"/>
      <c r="AV73" s="17"/>
      <c r="AW73" s="17"/>
      <c r="AX73" s="17">
        <v>4</v>
      </c>
      <c r="AY73" s="17"/>
      <c r="AZ73" s="17"/>
      <c r="BA73" s="17">
        <v>30</v>
      </c>
      <c r="BB73" s="17">
        <v>30</v>
      </c>
      <c r="BC73" s="17">
        <v>28</v>
      </c>
      <c r="BD73" s="17">
        <v>2</v>
      </c>
      <c r="BE73" s="47">
        <v>30</v>
      </c>
      <c r="BF73" s="17">
        <v>28</v>
      </c>
      <c r="BG73" s="47">
        <f t="shared" si="15"/>
        <v>2</v>
      </c>
      <c r="BH73" s="17"/>
      <c r="BI73" s="17"/>
      <c r="BJ73" s="17"/>
      <c r="BK73" s="17"/>
      <c r="BL73" s="17"/>
      <c r="BM73" s="17"/>
      <c r="BN73" s="17"/>
      <c r="BO73" s="17"/>
      <c r="BP73" s="17"/>
      <c r="BQ73" s="17">
        <v>5.7</v>
      </c>
      <c r="BR73" s="17"/>
      <c r="BS73" s="17"/>
      <c r="BT73" s="17"/>
      <c r="BU73" s="17"/>
      <c r="BV73" s="17"/>
      <c r="BW73" s="17"/>
      <c r="BX73" s="17"/>
      <c r="BY73" s="17"/>
      <c r="BZ73" s="17"/>
      <c r="CA73" s="17"/>
      <c r="CB73" s="17"/>
      <c r="CC73" s="17"/>
      <c r="CD73" s="17" t="s">
        <v>881</v>
      </c>
      <c r="CE73" s="17"/>
      <c r="CF73" s="17"/>
      <c r="CG73" s="17"/>
      <c r="CH73" s="17"/>
      <c r="CI73" s="17"/>
      <c r="CJ73" s="17"/>
      <c r="CK73" s="17"/>
      <c r="CL73" s="17"/>
      <c r="CM73" s="17"/>
      <c r="CN73" s="18"/>
      <c r="CO73" s="18"/>
      <c r="CP73" s="18"/>
      <c r="CQ73" s="18"/>
      <c r="CR73" s="18"/>
      <c r="CS73" s="18"/>
      <c r="CT73" s="18"/>
      <c r="CU73" s="18"/>
      <c r="CV73" s="18"/>
      <c r="CW73" s="18"/>
      <c r="CX73" s="18"/>
      <c r="CY73" s="18"/>
    </row>
    <row r="74" spans="1:103" s="29" customFormat="1" x14ac:dyDescent="0.2">
      <c r="A74" s="58">
        <v>67</v>
      </c>
      <c r="B74" s="14" t="s">
        <v>1429</v>
      </c>
      <c r="C74" s="30" t="s">
        <v>79</v>
      </c>
      <c r="D74" s="31" t="s">
        <v>268</v>
      </c>
      <c r="E74" s="31"/>
      <c r="F74" s="31">
        <v>2004</v>
      </c>
      <c r="G74" s="32" t="s">
        <v>286</v>
      </c>
      <c r="H74" s="32"/>
      <c r="I74" s="31" t="s">
        <v>8</v>
      </c>
      <c r="J74" s="32" t="s">
        <v>888</v>
      </c>
      <c r="K74" s="32" t="s">
        <v>1473</v>
      </c>
      <c r="L74" s="15" t="s">
        <v>68</v>
      </c>
      <c r="M74" s="15" t="s">
        <v>25</v>
      </c>
      <c r="N74" s="31" t="s">
        <v>75</v>
      </c>
      <c r="O74" s="31" t="s">
        <v>889</v>
      </c>
      <c r="P74" s="31" t="s">
        <v>167</v>
      </c>
      <c r="Q74" s="31" t="s">
        <v>313</v>
      </c>
      <c r="R74" s="32" t="s">
        <v>324</v>
      </c>
      <c r="S74" s="31" t="s">
        <v>23</v>
      </c>
      <c r="T74" s="31" t="s">
        <v>893</v>
      </c>
      <c r="U74" s="31">
        <v>5</v>
      </c>
      <c r="V74" s="57">
        <f t="shared" si="11"/>
        <v>5</v>
      </c>
      <c r="W74" s="57" t="str">
        <f t="shared" si="16"/>
        <v>S</v>
      </c>
      <c r="X74" s="31" t="s">
        <v>131</v>
      </c>
      <c r="Y74" s="31" t="s">
        <v>388</v>
      </c>
      <c r="Z74" s="31" t="s">
        <v>131</v>
      </c>
      <c r="AA74" s="31" t="s">
        <v>894</v>
      </c>
      <c r="AB74" s="31">
        <v>5</v>
      </c>
      <c r="AC74" s="15">
        <f t="shared" si="12"/>
        <v>5</v>
      </c>
      <c r="AD74" s="15" t="str">
        <f t="shared" si="10"/>
        <v>S</v>
      </c>
      <c r="AE74" s="31" t="s">
        <v>131</v>
      </c>
      <c r="AF74" s="31" t="s">
        <v>388</v>
      </c>
      <c r="AG74" s="33">
        <f>857+845</f>
        <v>1702</v>
      </c>
      <c r="AH74" s="33">
        <v>857</v>
      </c>
      <c r="AI74" s="33">
        <v>857</v>
      </c>
      <c r="AJ74" s="33">
        <f>+AI74-AK74</f>
        <v>688</v>
      </c>
      <c r="AK74" s="33">
        <v>169</v>
      </c>
      <c r="AL74" s="44">
        <v>857</v>
      </c>
      <c r="AM74" s="33">
        <f>+AL74-AN74</f>
        <v>688</v>
      </c>
      <c r="AN74" s="44">
        <v>169</v>
      </c>
      <c r="AO74" s="44"/>
      <c r="AP74" s="33"/>
      <c r="AQ74" s="33"/>
      <c r="AR74" s="33"/>
      <c r="AS74" s="33"/>
      <c r="AT74" s="33"/>
      <c r="AU74" s="33">
        <v>8</v>
      </c>
      <c r="AV74" s="33"/>
      <c r="AW74" s="33">
        <v>0</v>
      </c>
      <c r="AX74" s="33"/>
      <c r="AY74" s="33"/>
      <c r="AZ74" s="33"/>
      <c r="BA74" s="33">
        <v>845</v>
      </c>
      <c r="BB74" s="33">
        <v>845</v>
      </c>
      <c r="BC74" s="33">
        <f>+BB74-BD74</f>
        <v>658</v>
      </c>
      <c r="BD74" s="33">
        <v>187</v>
      </c>
      <c r="BE74" s="44">
        <v>845</v>
      </c>
      <c r="BF74" s="33">
        <f>+BE74-BG74</f>
        <v>673</v>
      </c>
      <c r="BG74" s="44">
        <v>172</v>
      </c>
      <c r="BH74" s="33"/>
      <c r="BI74" s="33"/>
      <c r="BJ74" s="33"/>
      <c r="BK74" s="33"/>
      <c r="BL74" s="33"/>
      <c r="BM74" s="33"/>
      <c r="BN74" s="33">
        <v>22</v>
      </c>
      <c r="BO74" s="33"/>
      <c r="BP74" s="33">
        <v>7</v>
      </c>
      <c r="BQ74" s="33"/>
      <c r="BR74" s="33"/>
      <c r="BS74" s="33"/>
      <c r="BT74" s="33">
        <f>743+743</f>
        <v>1486</v>
      </c>
      <c r="BU74" s="33">
        <f>217+201</f>
        <v>418</v>
      </c>
      <c r="BV74" s="33">
        <f>145+146</f>
        <v>291</v>
      </c>
      <c r="BW74" s="33"/>
      <c r="BX74" s="33"/>
      <c r="BY74" s="33"/>
      <c r="BZ74" s="33"/>
      <c r="CA74" s="33"/>
      <c r="CB74" s="33">
        <f>142+132+38+42</f>
        <v>354</v>
      </c>
      <c r="CC74" s="33"/>
      <c r="CD74" s="33"/>
      <c r="CE74" s="33"/>
      <c r="CF74" s="33"/>
      <c r="CG74" s="33"/>
      <c r="CH74" s="33"/>
      <c r="CI74" s="33"/>
      <c r="CJ74" s="33"/>
      <c r="CK74" s="33"/>
      <c r="CL74" s="33"/>
      <c r="CM74" s="33"/>
      <c r="CN74" s="35"/>
      <c r="CO74" s="35"/>
      <c r="CP74" s="35"/>
      <c r="CQ74" s="35"/>
      <c r="CR74" s="35"/>
      <c r="CS74" s="35"/>
      <c r="CT74" s="35"/>
      <c r="CU74" s="35"/>
      <c r="CV74" s="35"/>
      <c r="CW74" s="35"/>
      <c r="CX74" s="35"/>
      <c r="CY74" s="35"/>
    </row>
    <row r="75" spans="1:103" s="36" customFormat="1" x14ac:dyDescent="0.2">
      <c r="A75" s="58">
        <v>68</v>
      </c>
      <c r="B75" s="14" t="s">
        <v>1429</v>
      </c>
      <c r="C75" s="30" t="s">
        <v>79</v>
      </c>
      <c r="D75" s="31" t="s">
        <v>269</v>
      </c>
      <c r="E75" s="31"/>
      <c r="F75" s="31">
        <v>2008</v>
      </c>
      <c r="G75" s="32" t="s">
        <v>287</v>
      </c>
      <c r="H75" s="41" t="s">
        <v>895</v>
      </c>
      <c r="I75" s="31" t="s">
        <v>8</v>
      </c>
      <c r="J75" s="31" t="s">
        <v>109</v>
      </c>
      <c r="K75" s="31" t="s">
        <v>1471</v>
      </c>
      <c r="L75" s="15" t="s">
        <v>68</v>
      </c>
      <c r="M75" s="15" t="s">
        <v>25</v>
      </c>
      <c r="N75" s="31" t="s">
        <v>75</v>
      </c>
      <c r="O75" s="31" t="s">
        <v>889</v>
      </c>
      <c r="P75" s="31" t="s">
        <v>167</v>
      </c>
      <c r="Q75" s="31" t="s">
        <v>313</v>
      </c>
      <c r="R75" s="32" t="s">
        <v>314</v>
      </c>
      <c r="S75" s="31" t="s">
        <v>200</v>
      </c>
      <c r="T75" s="32" t="s">
        <v>899</v>
      </c>
      <c r="U75" s="31">
        <v>5</v>
      </c>
      <c r="V75" s="57">
        <f t="shared" si="11"/>
        <v>5</v>
      </c>
      <c r="W75" s="57" t="str">
        <f t="shared" si="16"/>
        <v>S</v>
      </c>
      <c r="X75" s="31" t="s">
        <v>131</v>
      </c>
      <c r="Y75" s="31" t="s">
        <v>388</v>
      </c>
      <c r="Z75" s="31" t="s">
        <v>200</v>
      </c>
      <c r="AA75" s="32" t="s">
        <v>898</v>
      </c>
      <c r="AB75" s="31">
        <v>8</v>
      </c>
      <c r="AC75" s="15">
        <f t="shared" si="12"/>
        <v>8</v>
      </c>
      <c r="AD75" s="15" t="str">
        <f t="shared" si="10"/>
        <v>L</v>
      </c>
      <c r="AE75" s="31" t="s">
        <v>131</v>
      </c>
      <c r="AF75" s="31" t="s">
        <v>388</v>
      </c>
      <c r="AG75" s="33">
        <f>1052+1048</f>
        <v>2100</v>
      </c>
      <c r="AH75" s="33">
        <v>1048</v>
      </c>
      <c r="AI75" s="33">
        <v>1048</v>
      </c>
      <c r="AJ75" s="33">
        <f>+AI75-AK75</f>
        <v>943</v>
      </c>
      <c r="AK75" s="33">
        <v>105</v>
      </c>
      <c r="AL75" s="44">
        <v>1012</v>
      </c>
      <c r="AM75" s="33">
        <f>+AL75-AN75</f>
        <v>925</v>
      </c>
      <c r="AN75" s="44">
        <v>87</v>
      </c>
      <c r="AO75" s="44"/>
      <c r="AP75" s="33"/>
      <c r="AQ75" s="33"/>
      <c r="AR75" s="33"/>
      <c r="AS75" s="33"/>
      <c r="AT75" s="33"/>
      <c r="AU75" s="33">
        <v>0</v>
      </c>
      <c r="AV75" s="33">
        <v>46</v>
      </c>
      <c r="AW75" s="33">
        <v>4</v>
      </c>
      <c r="AX75" s="33"/>
      <c r="AY75" s="33"/>
      <c r="AZ75" s="33"/>
      <c r="BA75" s="33">
        <v>1052</v>
      </c>
      <c r="BB75" s="33">
        <v>1052</v>
      </c>
      <c r="BC75" s="33">
        <f>+BB75-BD75</f>
        <v>963</v>
      </c>
      <c r="BD75" s="33">
        <v>89</v>
      </c>
      <c r="BE75" s="44">
        <v>1025</v>
      </c>
      <c r="BF75" s="33">
        <f>+BE75-BG75</f>
        <v>948</v>
      </c>
      <c r="BG75" s="44">
        <v>77</v>
      </c>
      <c r="BH75" s="33"/>
      <c r="BI75" s="33"/>
      <c r="BJ75" s="33"/>
      <c r="BK75" s="33"/>
      <c r="BL75" s="33"/>
      <c r="BM75" s="33"/>
      <c r="BN75" s="33">
        <v>0</v>
      </c>
      <c r="BO75" s="33">
        <v>29</v>
      </c>
      <c r="BP75" s="33">
        <v>1</v>
      </c>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5"/>
      <c r="CO75" s="35"/>
      <c r="CP75" s="35"/>
      <c r="CQ75" s="35"/>
      <c r="CR75" s="35"/>
      <c r="CS75" s="35"/>
      <c r="CT75" s="35"/>
      <c r="CU75" s="35"/>
      <c r="CV75" s="35"/>
      <c r="CW75" s="35"/>
      <c r="CX75" s="35"/>
      <c r="CY75" s="35"/>
    </row>
    <row r="76" spans="1:103" s="36" customFormat="1" x14ac:dyDescent="0.2">
      <c r="A76" s="58">
        <v>69</v>
      </c>
      <c r="B76" s="14" t="s">
        <v>1429</v>
      </c>
      <c r="C76" s="30" t="s">
        <v>79</v>
      </c>
      <c r="D76" s="31" t="s">
        <v>193</v>
      </c>
      <c r="E76" s="31"/>
      <c r="F76" s="31">
        <v>2011</v>
      </c>
      <c r="G76" s="32" t="s">
        <v>196</v>
      </c>
      <c r="H76" s="41" t="s">
        <v>896</v>
      </c>
      <c r="I76" s="31" t="s">
        <v>8</v>
      </c>
      <c r="J76" s="31" t="s">
        <v>109</v>
      </c>
      <c r="K76" s="31" t="s">
        <v>1471</v>
      </c>
      <c r="L76" s="31" t="s">
        <v>31</v>
      </c>
      <c r="M76" s="31" t="s">
        <v>11</v>
      </c>
      <c r="N76" s="31" t="s">
        <v>75</v>
      </c>
      <c r="O76" s="31" t="s">
        <v>890</v>
      </c>
      <c r="P76" s="31" t="s">
        <v>167</v>
      </c>
      <c r="Q76" s="17" t="s">
        <v>308</v>
      </c>
      <c r="R76" s="32" t="s">
        <v>314</v>
      </c>
      <c r="S76" s="31" t="s">
        <v>23</v>
      </c>
      <c r="T76" s="31" t="s">
        <v>892</v>
      </c>
      <c r="U76" s="31">
        <v>5</v>
      </c>
      <c r="V76" s="57">
        <f t="shared" si="11"/>
        <v>5</v>
      </c>
      <c r="W76" s="57" t="str">
        <f t="shared" si="16"/>
        <v>S</v>
      </c>
      <c r="X76" s="31" t="s">
        <v>131</v>
      </c>
      <c r="Y76" s="31" t="s">
        <v>388</v>
      </c>
      <c r="Z76" s="31" t="s">
        <v>194</v>
      </c>
      <c r="AA76" s="31" t="s">
        <v>891</v>
      </c>
      <c r="AB76" s="31">
        <v>5</v>
      </c>
      <c r="AC76" s="15">
        <f t="shared" si="12"/>
        <v>5</v>
      </c>
      <c r="AD76" s="15" t="str">
        <f t="shared" si="10"/>
        <v>S</v>
      </c>
      <c r="AE76" s="31" t="s">
        <v>772</v>
      </c>
      <c r="AF76" s="31" t="s">
        <v>388</v>
      </c>
      <c r="AG76" s="33">
        <f>1857+1354</f>
        <v>3211</v>
      </c>
      <c r="AH76" s="33">
        <v>1857</v>
      </c>
      <c r="AI76" s="33">
        <v>1857</v>
      </c>
      <c r="AJ76" s="33">
        <f>+AI76-AK76</f>
        <v>1692</v>
      </c>
      <c r="AK76" s="33">
        <v>165</v>
      </c>
      <c r="AL76" s="44"/>
      <c r="AM76" s="33"/>
      <c r="AN76" s="44"/>
      <c r="AO76" s="44"/>
      <c r="AP76" s="33"/>
      <c r="AQ76" s="33"/>
      <c r="AR76" s="33">
        <v>32</v>
      </c>
      <c r="AS76" s="33">
        <v>5</v>
      </c>
      <c r="AT76" s="33"/>
      <c r="AU76" s="33"/>
      <c r="AV76" s="33"/>
      <c r="AW76" s="33">
        <v>1</v>
      </c>
      <c r="AX76" s="33"/>
      <c r="AY76" s="33"/>
      <c r="AZ76" s="33"/>
      <c r="BA76" s="33">
        <v>1354</v>
      </c>
      <c r="BB76" s="33">
        <v>1354</v>
      </c>
      <c r="BC76" s="33">
        <f>+BB76-BD76</f>
        <v>1113</v>
      </c>
      <c r="BD76" s="33">
        <v>241</v>
      </c>
      <c r="BE76" s="44"/>
      <c r="BF76" s="33"/>
      <c r="BG76" s="44"/>
      <c r="BH76" s="33"/>
      <c r="BI76" s="33"/>
      <c r="BJ76" s="33"/>
      <c r="BK76" s="33">
        <v>22</v>
      </c>
      <c r="BL76" s="33">
        <v>3</v>
      </c>
      <c r="BM76" s="33"/>
      <c r="BN76" s="33"/>
      <c r="BO76" s="33"/>
      <c r="BP76" s="33">
        <v>1</v>
      </c>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5"/>
      <c r="CO76" s="35"/>
      <c r="CP76" s="35"/>
      <c r="CQ76" s="35"/>
      <c r="CR76" s="35"/>
      <c r="CS76" s="35"/>
      <c r="CT76" s="35"/>
      <c r="CU76" s="35"/>
      <c r="CV76" s="35"/>
      <c r="CW76" s="35"/>
      <c r="CX76" s="35"/>
      <c r="CY76" s="35"/>
    </row>
    <row r="77" spans="1:103" s="36" customFormat="1" x14ac:dyDescent="0.2">
      <c r="A77" s="58">
        <v>70</v>
      </c>
      <c r="B77" s="14" t="s">
        <v>1429</v>
      </c>
      <c r="C77" s="30" t="s">
        <v>79</v>
      </c>
      <c r="D77" s="31" t="s">
        <v>195</v>
      </c>
      <c r="E77" s="31"/>
      <c r="F77" s="31">
        <v>2012</v>
      </c>
      <c r="G77" s="32" t="s">
        <v>197</v>
      </c>
      <c r="H77" s="41" t="s">
        <v>897</v>
      </c>
      <c r="I77" s="31" t="s">
        <v>8</v>
      </c>
      <c r="J77" s="31" t="s">
        <v>109</v>
      </c>
      <c r="K77" s="31" t="s">
        <v>1471</v>
      </c>
      <c r="L77" s="31" t="s">
        <v>31</v>
      </c>
      <c r="M77" s="31" t="s">
        <v>11</v>
      </c>
      <c r="N77" s="31" t="s">
        <v>75</v>
      </c>
      <c r="O77" s="31" t="s">
        <v>890</v>
      </c>
      <c r="P77" s="31" t="s">
        <v>167</v>
      </c>
      <c r="Q77" s="17" t="s">
        <v>308</v>
      </c>
      <c r="R77" s="32" t="s">
        <v>314</v>
      </c>
      <c r="S77" s="31" t="s">
        <v>23</v>
      </c>
      <c r="T77" s="31" t="s">
        <v>783</v>
      </c>
      <c r="U77" s="31">
        <v>5</v>
      </c>
      <c r="V77" s="57">
        <f t="shared" si="11"/>
        <v>5</v>
      </c>
      <c r="W77" s="57" t="str">
        <f t="shared" si="16"/>
        <v>S</v>
      </c>
      <c r="X77" s="31" t="s">
        <v>131</v>
      </c>
      <c r="Y77" s="31" t="s">
        <v>388</v>
      </c>
      <c r="Z77" s="31" t="s">
        <v>194</v>
      </c>
      <c r="AA77" s="32" t="s">
        <v>891</v>
      </c>
      <c r="AB77" s="31">
        <v>5</v>
      </c>
      <c r="AC77" s="15">
        <f t="shared" si="12"/>
        <v>5</v>
      </c>
      <c r="AD77" s="15" t="str">
        <f t="shared" si="10"/>
        <v>S</v>
      </c>
      <c r="AE77" s="31" t="s">
        <v>772</v>
      </c>
      <c r="AF77" s="31" t="s">
        <v>388</v>
      </c>
      <c r="AG77" s="33">
        <f>2341+2069</f>
        <v>4410</v>
      </c>
      <c r="AH77" s="33">
        <v>2341</v>
      </c>
      <c r="AI77" s="33">
        <v>2341</v>
      </c>
      <c r="AJ77" s="33">
        <f>+AI77-AK77</f>
        <v>2154</v>
      </c>
      <c r="AK77" s="33">
        <v>187</v>
      </c>
      <c r="AL77" s="44"/>
      <c r="AM77" s="33"/>
      <c r="AN77" s="44"/>
      <c r="AO77" s="44"/>
      <c r="AP77" s="33"/>
      <c r="AQ77" s="33"/>
      <c r="AR77" s="33">
        <v>28</v>
      </c>
      <c r="AS77" s="33"/>
      <c r="AT77" s="33"/>
      <c r="AU77" s="33">
        <v>0</v>
      </c>
      <c r="AV77" s="33"/>
      <c r="AW77" s="33">
        <v>2</v>
      </c>
      <c r="AX77" s="33"/>
      <c r="AY77" s="33"/>
      <c r="AZ77" s="33"/>
      <c r="BA77" s="33">
        <v>2069</v>
      </c>
      <c r="BB77" s="33">
        <v>2069</v>
      </c>
      <c r="BC77" s="33">
        <f>+BB77-BD77</f>
        <v>1796</v>
      </c>
      <c r="BD77" s="33">
        <v>273</v>
      </c>
      <c r="BE77" s="44"/>
      <c r="BF77" s="33"/>
      <c r="BG77" s="44"/>
      <c r="BH77" s="33"/>
      <c r="BI77" s="33"/>
      <c r="BJ77" s="33"/>
      <c r="BK77" s="33">
        <v>21</v>
      </c>
      <c r="BL77" s="33"/>
      <c r="BM77" s="33"/>
      <c r="BN77" s="33">
        <v>0</v>
      </c>
      <c r="BO77" s="33"/>
      <c r="BP77" s="33">
        <v>0</v>
      </c>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5"/>
      <c r="CO77" s="35"/>
      <c r="CP77" s="35"/>
      <c r="CQ77" s="35"/>
      <c r="CR77" s="35"/>
      <c r="CS77" s="35"/>
      <c r="CT77" s="35"/>
      <c r="CU77" s="35"/>
      <c r="CV77" s="35"/>
      <c r="CW77" s="35"/>
      <c r="CX77" s="35"/>
      <c r="CY77" s="35"/>
    </row>
    <row r="78" spans="1:103" s="19" customFormat="1" x14ac:dyDescent="0.2">
      <c r="A78" s="58">
        <v>71</v>
      </c>
      <c r="B78" s="14" t="s">
        <v>1429</v>
      </c>
      <c r="C78" s="14" t="s">
        <v>79</v>
      </c>
      <c r="D78" s="15" t="s">
        <v>18</v>
      </c>
      <c r="E78" s="15" t="s">
        <v>384</v>
      </c>
      <c r="F78" s="15">
        <v>2004</v>
      </c>
      <c r="G78" s="16" t="s">
        <v>470</v>
      </c>
      <c r="H78" s="16"/>
      <c r="I78" s="15" t="s">
        <v>8</v>
      </c>
      <c r="J78" s="16" t="s">
        <v>471</v>
      </c>
      <c r="K78" s="16" t="s">
        <v>1475</v>
      </c>
      <c r="L78" s="15" t="s">
        <v>31</v>
      </c>
      <c r="M78" s="15" t="s">
        <v>333</v>
      </c>
      <c r="N78" s="15" t="s">
        <v>201</v>
      </c>
      <c r="O78" s="15" t="s">
        <v>404</v>
      </c>
      <c r="P78" s="15" t="s">
        <v>285</v>
      </c>
      <c r="Q78" s="15" t="s">
        <v>313</v>
      </c>
      <c r="R78" s="16" t="s">
        <v>472</v>
      </c>
      <c r="S78" s="15" t="s">
        <v>22</v>
      </c>
      <c r="T78" s="15" t="s">
        <v>336</v>
      </c>
      <c r="U78" s="15">
        <v>5</v>
      </c>
      <c r="V78" s="57">
        <f t="shared" si="11"/>
        <v>5</v>
      </c>
      <c r="W78" s="57" t="str">
        <f t="shared" si="16"/>
        <v>S</v>
      </c>
      <c r="X78" s="15" t="s">
        <v>407</v>
      </c>
      <c r="Y78" s="15" t="s">
        <v>14</v>
      </c>
      <c r="Z78" s="31" t="s">
        <v>54</v>
      </c>
      <c r="AA78" s="15" t="s">
        <v>903</v>
      </c>
      <c r="AB78" s="15">
        <v>10</v>
      </c>
      <c r="AC78" s="15">
        <f t="shared" si="12"/>
        <v>10</v>
      </c>
      <c r="AD78" s="15" t="str">
        <f t="shared" si="10"/>
        <v>L</v>
      </c>
      <c r="AE78" s="15" t="s">
        <v>16</v>
      </c>
      <c r="AF78" s="15" t="s">
        <v>14</v>
      </c>
      <c r="AG78" s="17">
        <v>575</v>
      </c>
      <c r="AH78" s="17">
        <v>193</v>
      </c>
      <c r="AI78" s="17">
        <v>187</v>
      </c>
      <c r="AJ78" s="17">
        <v>154</v>
      </c>
      <c r="AK78" s="17">
        <f>+AI78-AJ78</f>
        <v>33</v>
      </c>
      <c r="AL78" s="47">
        <v>159</v>
      </c>
      <c r="AM78" s="17">
        <v>142</v>
      </c>
      <c r="AN78" s="47">
        <v>17</v>
      </c>
      <c r="AO78" s="47">
        <v>65</v>
      </c>
      <c r="AP78" s="17">
        <v>57</v>
      </c>
      <c r="AQ78" s="17">
        <v>8</v>
      </c>
      <c r="AR78" s="17"/>
      <c r="AS78" s="17">
        <v>83</v>
      </c>
      <c r="AT78" s="17"/>
      <c r="AU78" s="17">
        <v>9</v>
      </c>
      <c r="AV78" s="17"/>
      <c r="AW78" s="17">
        <v>1</v>
      </c>
      <c r="AX78" s="17"/>
      <c r="AY78" s="17"/>
      <c r="AZ78" s="17"/>
      <c r="BA78" s="17">
        <v>187</v>
      </c>
      <c r="BB78" s="17">
        <v>181</v>
      </c>
      <c r="BC78" s="17">
        <v>147</v>
      </c>
      <c r="BD78" s="17">
        <v>34</v>
      </c>
      <c r="BE78" s="47">
        <v>146</v>
      </c>
      <c r="BF78" s="17">
        <v>134</v>
      </c>
      <c r="BG78" s="47">
        <v>12</v>
      </c>
      <c r="BH78" s="17">
        <v>54</v>
      </c>
      <c r="BI78" s="17">
        <v>45</v>
      </c>
      <c r="BJ78" s="17">
        <v>9</v>
      </c>
      <c r="BK78" s="17"/>
      <c r="BL78" s="17">
        <v>84</v>
      </c>
      <c r="BM78" s="17"/>
      <c r="BN78" s="17">
        <v>11</v>
      </c>
      <c r="BO78" s="17"/>
      <c r="BP78" s="17">
        <v>2</v>
      </c>
      <c r="BQ78" s="17"/>
      <c r="BR78" s="17"/>
      <c r="BS78" s="17"/>
      <c r="BT78" s="17">
        <f>115+115+116+116+16</f>
        <v>478</v>
      </c>
      <c r="BU78" s="17">
        <f>115*2</f>
        <v>230</v>
      </c>
      <c r="BV78" s="17">
        <f>116*2</f>
        <v>232</v>
      </c>
      <c r="BW78" s="17"/>
      <c r="BX78" s="17"/>
      <c r="BY78" s="17"/>
      <c r="BZ78" s="17"/>
      <c r="CA78" s="17"/>
      <c r="CB78" s="17">
        <v>7</v>
      </c>
      <c r="CC78" s="17"/>
      <c r="CD78" s="17"/>
      <c r="CE78" s="17"/>
      <c r="CF78" s="17"/>
      <c r="CG78" s="17"/>
      <c r="CH78" s="17"/>
      <c r="CI78" s="17"/>
      <c r="CJ78" s="17"/>
      <c r="CK78" s="17"/>
      <c r="CL78" s="17"/>
      <c r="CM78" s="17"/>
      <c r="CN78" s="18"/>
      <c r="CO78" s="18"/>
      <c r="CP78" s="18"/>
      <c r="CQ78" s="18"/>
      <c r="CR78" s="18"/>
      <c r="CS78" s="18"/>
      <c r="CT78" s="18"/>
      <c r="CU78" s="18"/>
      <c r="CV78" s="18"/>
      <c r="CW78" s="18"/>
      <c r="CX78" s="18"/>
      <c r="CY78" s="18"/>
    </row>
    <row r="79" spans="1:103" s="19" customFormat="1" x14ac:dyDescent="0.2">
      <c r="A79" s="58">
        <v>71</v>
      </c>
      <c r="B79" s="14" t="s">
        <v>1430</v>
      </c>
      <c r="C79" s="14" t="s">
        <v>79</v>
      </c>
      <c r="D79" s="15" t="s">
        <v>18</v>
      </c>
      <c r="E79" s="15" t="s">
        <v>384</v>
      </c>
      <c r="F79" s="15">
        <v>2004</v>
      </c>
      <c r="G79" s="16" t="s">
        <v>470</v>
      </c>
      <c r="H79" s="16"/>
      <c r="I79" s="15" t="s">
        <v>8</v>
      </c>
      <c r="J79" s="16" t="s">
        <v>471</v>
      </c>
      <c r="K79" s="16" t="s">
        <v>1475</v>
      </c>
      <c r="L79" s="15" t="s">
        <v>31</v>
      </c>
      <c r="M79" s="15" t="s">
        <v>333</v>
      </c>
      <c r="N79" s="15" t="s">
        <v>201</v>
      </c>
      <c r="O79" s="15" t="s">
        <v>404</v>
      </c>
      <c r="P79" s="15" t="s">
        <v>285</v>
      </c>
      <c r="Q79" s="15" t="s">
        <v>313</v>
      </c>
      <c r="R79" s="16" t="s">
        <v>472</v>
      </c>
      <c r="S79" s="15" t="s">
        <v>22</v>
      </c>
      <c r="T79" s="15" t="s">
        <v>336</v>
      </c>
      <c r="U79" s="15">
        <v>7</v>
      </c>
      <c r="V79" s="57">
        <f t="shared" si="11"/>
        <v>7</v>
      </c>
      <c r="W79" s="57" t="str">
        <f t="shared" si="16"/>
        <v>L</v>
      </c>
      <c r="X79" s="15" t="s">
        <v>407</v>
      </c>
      <c r="Y79" s="15" t="s">
        <v>14</v>
      </c>
      <c r="Z79" s="31" t="s">
        <v>54</v>
      </c>
      <c r="AA79" s="15" t="s">
        <v>903</v>
      </c>
      <c r="AB79" s="15">
        <v>10</v>
      </c>
      <c r="AC79" s="15">
        <f t="shared" si="12"/>
        <v>10</v>
      </c>
      <c r="AD79" s="15" t="str">
        <f t="shared" si="10"/>
        <v>L</v>
      </c>
      <c r="AE79" s="15" t="s">
        <v>16</v>
      </c>
      <c r="AF79" s="15" t="s">
        <v>14</v>
      </c>
      <c r="AG79" s="17">
        <v>575</v>
      </c>
      <c r="AH79" s="17">
        <v>195</v>
      </c>
      <c r="AI79" s="17">
        <v>191</v>
      </c>
      <c r="AJ79" s="17">
        <v>157</v>
      </c>
      <c r="AK79" s="17">
        <f>+AI79-AJ79</f>
        <v>34</v>
      </c>
      <c r="AL79" s="47">
        <v>161</v>
      </c>
      <c r="AM79" s="17">
        <v>143</v>
      </c>
      <c r="AN79" s="47">
        <v>18</v>
      </c>
      <c r="AO79" s="47">
        <v>65</v>
      </c>
      <c r="AP79" s="17">
        <v>52</v>
      </c>
      <c r="AQ79" s="17">
        <f>+AO79-AP79</f>
        <v>13</v>
      </c>
      <c r="AR79" s="17"/>
      <c r="AS79" s="17">
        <v>90</v>
      </c>
      <c r="AT79" s="17"/>
      <c r="AU79" s="17">
        <v>5</v>
      </c>
      <c r="AV79" s="17"/>
      <c r="AW79" s="17">
        <v>2</v>
      </c>
      <c r="AX79" s="17"/>
      <c r="AY79" s="17"/>
      <c r="AZ79" s="17"/>
      <c r="BA79" s="17">
        <v>187</v>
      </c>
      <c r="BB79" s="17">
        <v>181</v>
      </c>
      <c r="BC79" s="17">
        <v>147</v>
      </c>
      <c r="BD79" s="17">
        <v>34</v>
      </c>
      <c r="BE79" s="47">
        <v>146</v>
      </c>
      <c r="BF79" s="17">
        <v>134</v>
      </c>
      <c r="BG79" s="47">
        <v>12</v>
      </c>
      <c r="BH79" s="17">
        <v>54</v>
      </c>
      <c r="BI79" s="17">
        <v>45</v>
      </c>
      <c r="BJ79" s="17">
        <v>9</v>
      </c>
      <c r="BK79" s="17"/>
      <c r="BL79" s="17">
        <v>84</v>
      </c>
      <c r="BM79" s="17"/>
      <c r="BN79" s="17">
        <v>11</v>
      </c>
      <c r="BO79" s="17"/>
      <c r="BP79" s="17">
        <v>2</v>
      </c>
      <c r="BQ79" s="17"/>
      <c r="BR79" s="17"/>
      <c r="BS79" s="17"/>
      <c r="BT79" s="17">
        <f>115+115+116+116+16</f>
        <v>478</v>
      </c>
      <c r="BU79" s="17">
        <f>115*2</f>
        <v>230</v>
      </c>
      <c r="BV79" s="17">
        <f>116*2</f>
        <v>232</v>
      </c>
      <c r="BW79" s="17"/>
      <c r="BX79" s="17"/>
      <c r="BY79" s="17"/>
      <c r="BZ79" s="17"/>
      <c r="CA79" s="17"/>
      <c r="CB79" s="17">
        <v>7</v>
      </c>
      <c r="CC79" s="17"/>
      <c r="CD79" s="17"/>
      <c r="CE79" s="17"/>
      <c r="CF79" s="17"/>
      <c r="CG79" s="17"/>
      <c r="CH79" s="17"/>
      <c r="CI79" s="17"/>
      <c r="CJ79" s="17"/>
      <c r="CK79" s="17"/>
      <c r="CL79" s="17"/>
      <c r="CM79" s="17"/>
      <c r="CN79" s="18"/>
      <c r="CO79" s="18"/>
      <c r="CP79" s="18"/>
      <c r="CQ79" s="18"/>
      <c r="CR79" s="18"/>
      <c r="CS79" s="18"/>
      <c r="CT79" s="18"/>
      <c r="CU79" s="18"/>
      <c r="CV79" s="18"/>
      <c r="CW79" s="18"/>
      <c r="CX79" s="18"/>
      <c r="CY79" s="18"/>
    </row>
    <row r="80" spans="1:103" s="19" customFormat="1" x14ac:dyDescent="0.2">
      <c r="A80" s="58">
        <v>72</v>
      </c>
      <c r="B80" s="14" t="s">
        <v>1429</v>
      </c>
      <c r="C80" s="14" t="s">
        <v>79</v>
      </c>
      <c r="D80" s="15" t="s">
        <v>74</v>
      </c>
      <c r="E80" s="15" t="s">
        <v>384</v>
      </c>
      <c r="F80" s="15">
        <v>2002</v>
      </c>
      <c r="G80" s="16" t="s">
        <v>450</v>
      </c>
      <c r="H80" s="16" t="s">
        <v>451</v>
      </c>
      <c r="I80" s="15" t="s">
        <v>8</v>
      </c>
      <c r="J80" s="15" t="s">
        <v>66</v>
      </c>
      <c r="K80" s="15" t="s">
        <v>366</v>
      </c>
      <c r="L80" s="15" t="s">
        <v>32</v>
      </c>
      <c r="M80" s="15" t="s">
        <v>25</v>
      </c>
      <c r="N80" s="15" t="s">
        <v>201</v>
      </c>
      <c r="O80" s="15" t="s">
        <v>404</v>
      </c>
      <c r="P80" s="31" t="s">
        <v>333</v>
      </c>
      <c r="Q80" s="15" t="s">
        <v>313</v>
      </c>
      <c r="R80" s="16" t="s">
        <v>452</v>
      </c>
      <c r="S80" s="15" t="s">
        <v>152</v>
      </c>
      <c r="T80" s="15" t="s">
        <v>453</v>
      </c>
      <c r="U80" s="15">
        <v>5</v>
      </c>
      <c r="V80" s="57">
        <f t="shared" si="11"/>
        <v>5</v>
      </c>
      <c r="W80" s="57" t="str">
        <f t="shared" si="16"/>
        <v>S</v>
      </c>
      <c r="X80" s="15" t="s">
        <v>511</v>
      </c>
      <c r="Y80" s="15" t="s">
        <v>14</v>
      </c>
      <c r="Z80" s="31" t="s">
        <v>152</v>
      </c>
      <c r="AA80" s="15" t="s">
        <v>453</v>
      </c>
      <c r="AB80" s="15">
        <v>10</v>
      </c>
      <c r="AC80" s="15">
        <f t="shared" si="12"/>
        <v>10</v>
      </c>
      <c r="AD80" s="15" t="str">
        <f t="shared" si="10"/>
        <v>L</v>
      </c>
      <c r="AE80" s="15" t="s">
        <v>511</v>
      </c>
      <c r="AF80" s="15" t="s">
        <v>14</v>
      </c>
      <c r="AG80" s="17">
        <f>125+119</f>
        <v>244</v>
      </c>
      <c r="AH80" s="17">
        <v>125</v>
      </c>
      <c r="AI80" s="17">
        <v>125</v>
      </c>
      <c r="AJ80" s="17">
        <f>+AI80*0.744</f>
        <v>93</v>
      </c>
      <c r="AK80" s="17">
        <f>+AI80-AJ80</f>
        <v>32</v>
      </c>
      <c r="AL80" s="47">
        <v>94</v>
      </c>
      <c r="AM80" s="17">
        <v>77</v>
      </c>
      <c r="AN80" s="47">
        <f>+AL80-AM80</f>
        <v>17</v>
      </c>
      <c r="AO80" s="47"/>
      <c r="AP80" s="17"/>
      <c r="AQ80" s="17"/>
      <c r="AR80" s="17"/>
      <c r="AS80" s="17">
        <v>20</v>
      </c>
      <c r="AT80" s="17"/>
      <c r="AU80" s="17"/>
      <c r="AV80" s="17"/>
      <c r="AW80" s="17"/>
      <c r="AX80" s="17"/>
      <c r="AY80" s="17"/>
      <c r="AZ80" s="17"/>
      <c r="BA80" s="17">
        <v>119</v>
      </c>
      <c r="BB80" s="17">
        <v>119</v>
      </c>
      <c r="BC80" s="47">
        <f>+BB80*0.714</f>
        <v>84.965999999999994</v>
      </c>
      <c r="BD80" s="47">
        <v>34.034000000000006</v>
      </c>
      <c r="BE80" s="47">
        <v>92</v>
      </c>
      <c r="BF80" s="17">
        <v>76</v>
      </c>
      <c r="BG80" s="47">
        <f>+BE80-BF80</f>
        <v>16</v>
      </c>
      <c r="BH80" s="17"/>
      <c r="BI80" s="17"/>
      <c r="BJ80" s="17"/>
      <c r="BK80" s="17"/>
      <c r="BL80" s="17">
        <v>26</v>
      </c>
      <c r="BM80" s="17"/>
      <c r="BN80" s="17"/>
      <c r="BO80" s="17"/>
      <c r="BP80" s="17"/>
      <c r="BQ80" s="17"/>
      <c r="BR80" s="17"/>
      <c r="BS80" s="17"/>
      <c r="BT80" s="17">
        <f>22+8+7+4+1+1+1+6+10</f>
        <v>60</v>
      </c>
      <c r="BU80" s="17">
        <f>14+8+10</f>
        <v>32</v>
      </c>
      <c r="BV80" s="17">
        <f>7+6+1</f>
        <v>14</v>
      </c>
      <c r="BW80" s="17">
        <f>2+1</f>
        <v>3</v>
      </c>
      <c r="BX80" s="17">
        <v>1</v>
      </c>
      <c r="BY80" s="17">
        <v>5</v>
      </c>
      <c r="BZ80" s="17"/>
      <c r="CA80" s="17"/>
      <c r="CB80" s="17"/>
      <c r="CC80" s="27" t="s">
        <v>454</v>
      </c>
      <c r="CD80" s="17"/>
      <c r="CE80" s="17"/>
      <c r="CF80" s="17"/>
      <c r="CG80" s="17"/>
      <c r="CH80" s="17"/>
      <c r="CI80" s="17"/>
      <c r="CJ80" s="17"/>
      <c r="CK80" s="17"/>
      <c r="CL80" s="17"/>
      <c r="CM80" s="17"/>
      <c r="CN80" s="18"/>
      <c r="CO80" s="18"/>
      <c r="CP80" s="18"/>
      <c r="CQ80" s="18"/>
      <c r="CR80" s="18"/>
      <c r="CS80" s="18"/>
      <c r="CT80" s="18"/>
      <c r="CU80" s="18"/>
      <c r="CV80" s="18"/>
      <c r="CW80" s="18"/>
      <c r="CX80" s="18"/>
      <c r="CY80" s="18"/>
    </row>
    <row r="81" spans="1:103" s="19" customFormat="1" x14ac:dyDescent="0.2">
      <c r="A81" s="58">
        <v>73</v>
      </c>
      <c r="B81" s="14" t="s">
        <v>1429</v>
      </c>
      <c r="C81" s="14" t="s">
        <v>79</v>
      </c>
      <c r="D81" s="15" t="s">
        <v>17</v>
      </c>
      <c r="E81" s="15" t="s">
        <v>384</v>
      </c>
      <c r="F81" s="15">
        <v>1999</v>
      </c>
      <c r="G81" s="16" t="s">
        <v>26</v>
      </c>
      <c r="H81" s="16" t="s">
        <v>468</v>
      </c>
      <c r="I81" s="15" t="s">
        <v>8</v>
      </c>
      <c r="J81" s="15" t="s">
        <v>35</v>
      </c>
      <c r="K81" s="15" t="s">
        <v>1472</v>
      </c>
      <c r="L81" s="15" t="s">
        <v>31</v>
      </c>
      <c r="M81" s="15" t="s">
        <v>25</v>
      </c>
      <c r="N81" s="15" t="s">
        <v>201</v>
      </c>
      <c r="O81" s="15" t="s">
        <v>404</v>
      </c>
      <c r="P81" s="15" t="s">
        <v>285</v>
      </c>
      <c r="Q81" s="15" t="s">
        <v>313</v>
      </c>
      <c r="R81" s="16" t="s">
        <v>469</v>
      </c>
      <c r="S81" s="15" t="s">
        <v>21</v>
      </c>
      <c r="T81" s="15" t="s">
        <v>903</v>
      </c>
      <c r="U81" s="15">
        <v>5</v>
      </c>
      <c r="V81" s="57">
        <f t="shared" si="11"/>
        <v>5</v>
      </c>
      <c r="W81" s="57" t="str">
        <f t="shared" si="16"/>
        <v>S</v>
      </c>
      <c r="X81" s="15" t="s">
        <v>511</v>
      </c>
      <c r="Y81" s="15" t="s">
        <v>14</v>
      </c>
      <c r="Z81" s="31" t="s">
        <v>21</v>
      </c>
      <c r="AA81" s="15" t="s">
        <v>903</v>
      </c>
      <c r="AB81" s="15">
        <v>7</v>
      </c>
      <c r="AC81" s="15">
        <f t="shared" si="12"/>
        <v>7</v>
      </c>
      <c r="AD81" s="15" t="str">
        <f t="shared" si="10"/>
        <v>L</v>
      </c>
      <c r="AE81" s="15" t="s">
        <v>511</v>
      </c>
      <c r="AF81" s="15" t="s">
        <v>14</v>
      </c>
      <c r="AG81" s="17">
        <f>22+24</f>
        <v>46</v>
      </c>
      <c r="AH81" s="17">
        <v>22</v>
      </c>
      <c r="AI81" s="17">
        <v>22</v>
      </c>
      <c r="AJ81" s="17">
        <v>20</v>
      </c>
      <c r="AK81" s="17">
        <v>2</v>
      </c>
      <c r="AL81" s="47">
        <v>22</v>
      </c>
      <c r="AM81" s="17">
        <v>20</v>
      </c>
      <c r="AN81" s="47">
        <v>2</v>
      </c>
      <c r="AO81" s="47"/>
      <c r="AP81" s="17"/>
      <c r="AQ81" s="17"/>
      <c r="AR81" s="17">
        <v>0</v>
      </c>
      <c r="AS81" s="17"/>
      <c r="AT81" s="17"/>
      <c r="AU81" s="17">
        <v>0</v>
      </c>
      <c r="AV81" s="17"/>
      <c r="AW81" s="17"/>
      <c r="AX81" s="17"/>
      <c r="AY81" s="17"/>
      <c r="AZ81" s="17"/>
      <c r="BA81" s="17">
        <v>24</v>
      </c>
      <c r="BB81" s="17">
        <v>24</v>
      </c>
      <c r="BC81" s="17">
        <v>21</v>
      </c>
      <c r="BD81" s="17">
        <v>3</v>
      </c>
      <c r="BE81" s="47">
        <v>24</v>
      </c>
      <c r="BF81" s="17">
        <v>21</v>
      </c>
      <c r="BG81" s="47">
        <v>3</v>
      </c>
      <c r="BH81" s="17"/>
      <c r="BI81" s="17"/>
      <c r="BJ81" s="17"/>
      <c r="BK81" s="17">
        <v>0</v>
      </c>
      <c r="BL81" s="17"/>
      <c r="BM81" s="17"/>
      <c r="BN81" s="17">
        <v>0</v>
      </c>
      <c r="BO81" s="17"/>
      <c r="BP81" s="17"/>
      <c r="BQ81" s="17"/>
      <c r="BR81" s="17"/>
      <c r="BS81" s="17"/>
      <c r="BT81" s="17">
        <v>19</v>
      </c>
      <c r="BU81" s="17">
        <v>9</v>
      </c>
      <c r="BV81" s="17">
        <v>3</v>
      </c>
      <c r="BW81" s="17">
        <v>2</v>
      </c>
      <c r="BX81" s="17"/>
      <c r="BY81" s="17">
        <v>2</v>
      </c>
      <c r="BZ81" s="17"/>
      <c r="CA81" s="17"/>
      <c r="CB81" s="17"/>
      <c r="CC81" s="17"/>
      <c r="CD81" s="17"/>
      <c r="CE81" s="17"/>
      <c r="CF81" s="17"/>
      <c r="CG81" s="17"/>
      <c r="CH81" s="17"/>
      <c r="CI81" s="17"/>
      <c r="CJ81" s="17"/>
      <c r="CK81" s="17"/>
      <c r="CL81" s="17"/>
      <c r="CM81" s="17"/>
      <c r="CN81" s="18"/>
      <c r="CO81" s="18"/>
      <c r="CP81" s="18"/>
      <c r="CQ81" s="18"/>
      <c r="CR81" s="18"/>
      <c r="CS81" s="18"/>
      <c r="CT81" s="18"/>
      <c r="CU81" s="18"/>
      <c r="CV81" s="18"/>
      <c r="CW81" s="18"/>
      <c r="CX81" s="18"/>
      <c r="CY81" s="18"/>
    </row>
    <row r="82" spans="1:103" s="36" customFormat="1" ht="16" customHeight="1" x14ac:dyDescent="0.2">
      <c r="A82" s="58">
        <v>74</v>
      </c>
      <c r="B82" s="14" t="s">
        <v>1429</v>
      </c>
      <c r="C82" s="30" t="s">
        <v>79</v>
      </c>
      <c r="D82" s="31" t="s">
        <v>147</v>
      </c>
      <c r="E82" s="31"/>
      <c r="F82" s="31">
        <v>2006</v>
      </c>
      <c r="G82" s="42" t="s">
        <v>957</v>
      </c>
      <c r="H82" s="32"/>
      <c r="I82" s="31" t="s">
        <v>8</v>
      </c>
      <c r="J82" s="31" t="s">
        <v>35</v>
      </c>
      <c r="K82" s="31" t="s">
        <v>1472</v>
      </c>
      <c r="L82" s="15" t="s">
        <v>68</v>
      </c>
      <c r="M82" s="15" t="s">
        <v>25</v>
      </c>
      <c r="N82" s="31" t="s">
        <v>201</v>
      </c>
      <c r="O82" s="31" t="s">
        <v>404</v>
      </c>
      <c r="P82" s="31" t="s">
        <v>333</v>
      </c>
      <c r="Q82" s="32" t="s">
        <v>313</v>
      </c>
      <c r="R82" s="32" t="s">
        <v>935</v>
      </c>
      <c r="S82" s="31" t="s">
        <v>40</v>
      </c>
      <c r="T82" s="31" t="s">
        <v>959</v>
      </c>
      <c r="U82" s="31" t="s">
        <v>354</v>
      </c>
      <c r="V82" s="57">
        <v>10</v>
      </c>
      <c r="W82" s="57" t="str">
        <f t="shared" si="16"/>
        <v>L</v>
      </c>
      <c r="X82" s="31" t="s">
        <v>13</v>
      </c>
      <c r="Y82" s="31" t="s">
        <v>14</v>
      </c>
      <c r="Z82" s="31" t="s">
        <v>33</v>
      </c>
      <c r="AA82" s="31" t="s">
        <v>960</v>
      </c>
      <c r="AB82" s="31" t="s">
        <v>354</v>
      </c>
      <c r="AC82" s="15">
        <v>10</v>
      </c>
      <c r="AD82" s="15" t="str">
        <f t="shared" si="10"/>
        <v>L</v>
      </c>
      <c r="AE82" s="31" t="s">
        <v>13</v>
      </c>
      <c r="AF82" s="31" t="s">
        <v>14</v>
      </c>
      <c r="AG82" s="33">
        <f>140+141</f>
        <v>281</v>
      </c>
      <c r="AH82" s="33">
        <v>141</v>
      </c>
      <c r="AI82" s="33">
        <v>141</v>
      </c>
      <c r="AJ82" s="33">
        <v>131</v>
      </c>
      <c r="AK82" s="33">
        <v>10</v>
      </c>
      <c r="AL82" s="44">
        <v>141</v>
      </c>
      <c r="AM82" s="33">
        <v>131</v>
      </c>
      <c r="AN82" s="44">
        <v>10</v>
      </c>
      <c r="AO82" s="44">
        <v>21</v>
      </c>
      <c r="AP82" s="33">
        <v>17</v>
      </c>
      <c r="AQ82" s="33">
        <v>4</v>
      </c>
      <c r="AR82" s="33"/>
      <c r="AS82" s="33"/>
      <c r="AT82" s="33">
        <v>16</v>
      </c>
      <c r="AU82" s="33"/>
      <c r="AV82" s="33"/>
      <c r="AW82" s="33"/>
      <c r="AX82" s="33"/>
      <c r="AY82" s="33"/>
      <c r="AZ82" s="33"/>
      <c r="BA82" s="33">
        <v>140</v>
      </c>
      <c r="BB82" s="33">
        <v>140</v>
      </c>
      <c r="BC82" s="33">
        <v>123</v>
      </c>
      <c r="BD82" s="33">
        <v>17</v>
      </c>
      <c r="BE82" s="44">
        <v>140</v>
      </c>
      <c r="BF82" s="33">
        <v>123</v>
      </c>
      <c r="BG82" s="44">
        <f>+BE82-BF82</f>
        <v>17</v>
      </c>
      <c r="BH82" s="33">
        <v>28</v>
      </c>
      <c r="BI82" s="33">
        <v>21</v>
      </c>
      <c r="BJ82" s="33">
        <v>7</v>
      </c>
      <c r="BK82" s="33"/>
      <c r="BL82" s="33"/>
      <c r="BM82" s="33">
        <v>21</v>
      </c>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5"/>
      <c r="CO82" s="35"/>
      <c r="CP82" s="35"/>
      <c r="CQ82" s="35"/>
      <c r="CR82" s="35"/>
      <c r="CS82" s="35"/>
      <c r="CT82" s="35"/>
      <c r="CU82" s="35"/>
      <c r="CV82" s="35"/>
      <c r="CW82" s="35"/>
      <c r="CX82" s="35"/>
      <c r="CY82" s="35"/>
    </row>
    <row r="83" spans="1:103" s="36" customFormat="1" x14ac:dyDescent="0.2">
      <c r="A83" s="58">
        <v>75</v>
      </c>
      <c r="B83" s="14" t="s">
        <v>1429</v>
      </c>
      <c r="C83" s="30" t="s">
        <v>79</v>
      </c>
      <c r="D83" s="31" t="s">
        <v>925</v>
      </c>
      <c r="E83" s="31"/>
      <c r="F83" s="31">
        <v>2010</v>
      </c>
      <c r="G83" s="32" t="s">
        <v>936</v>
      </c>
      <c r="H83" s="32"/>
      <c r="I83" s="31" t="s">
        <v>8</v>
      </c>
      <c r="J83" s="31" t="s">
        <v>36</v>
      </c>
      <c r="K83" s="31" t="s">
        <v>1471</v>
      </c>
      <c r="L83" s="15" t="s">
        <v>68</v>
      </c>
      <c r="M83" s="15" t="s">
        <v>25</v>
      </c>
      <c r="N83" s="31" t="s">
        <v>201</v>
      </c>
      <c r="O83" s="31" t="s">
        <v>404</v>
      </c>
      <c r="P83" s="31"/>
      <c r="Q83" s="32" t="s">
        <v>313</v>
      </c>
      <c r="R83" s="32" t="s">
        <v>935</v>
      </c>
      <c r="S83" s="31" t="s">
        <v>40</v>
      </c>
      <c r="T83" s="31" t="s">
        <v>961</v>
      </c>
      <c r="U83" s="31" t="s">
        <v>354</v>
      </c>
      <c r="V83" s="57">
        <v>10</v>
      </c>
      <c r="W83" s="57" t="str">
        <f t="shared" si="16"/>
        <v>L</v>
      </c>
      <c r="X83" s="31" t="s">
        <v>13</v>
      </c>
      <c r="Y83" s="31" t="s">
        <v>14</v>
      </c>
      <c r="Z83" s="31" t="s">
        <v>33</v>
      </c>
      <c r="AA83" s="31" t="s">
        <v>962</v>
      </c>
      <c r="AB83" s="31" t="s">
        <v>354</v>
      </c>
      <c r="AC83" s="15">
        <v>10</v>
      </c>
      <c r="AD83" s="15" t="str">
        <f t="shared" si="10"/>
        <v>L</v>
      </c>
      <c r="AE83" s="31" t="s">
        <v>13</v>
      </c>
      <c r="AF83" s="31" t="s">
        <v>14</v>
      </c>
      <c r="AG83" s="33">
        <f>56+54</f>
        <v>110</v>
      </c>
      <c r="AH83" s="33">
        <v>56</v>
      </c>
      <c r="AI83" s="33">
        <v>56</v>
      </c>
      <c r="AJ83" s="33">
        <v>53</v>
      </c>
      <c r="AK83" s="33">
        <v>3</v>
      </c>
      <c r="AL83" s="44">
        <v>56</v>
      </c>
      <c r="AM83" s="33">
        <v>53</v>
      </c>
      <c r="AN83" s="44">
        <v>3</v>
      </c>
      <c r="AO83" s="44">
        <v>56</v>
      </c>
      <c r="AP83" s="33">
        <v>45</v>
      </c>
      <c r="AQ83" s="33">
        <v>11</v>
      </c>
      <c r="AR83" s="33"/>
      <c r="AS83" s="33"/>
      <c r="AT83" s="33"/>
      <c r="AU83" s="33"/>
      <c r="AV83" s="33"/>
      <c r="AW83" s="33"/>
      <c r="AX83" s="33"/>
      <c r="AY83" s="33"/>
      <c r="AZ83" s="33"/>
      <c r="BA83" s="33">
        <v>54</v>
      </c>
      <c r="BB83" s="33">
        <v>54</v>
      </c>
      <c r="BC83" s="33">
        <v>50</v>
      </c>
      <c r="BD83" s="33">
        <v>4</v>
      </c>
      <c r="BE83" s="44">
        <v>54</v>
      </c>
      <c r="BF83" s="33">
        <v>50</v>
      </c>
      <c r="BG83" s="44">
        <v>4</v>
      </c>
      <c r="BH83" s="33">
        <v>54</v>
      </c>
      <c r="BI83" s="33">
        <v>46</v>
      </c>
      <c r="BJ83" s="33">
        <v>8</v>
      </c>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5"/>
      <c r="CO83" s="35"/>
      <c r="CP83" s="35"/>
      <c r="CQ83" s="35"/>
      <c r="CR83" s="35"/>
      <c r="CS83" s="35"/>
      <c r="CT83" s="35"/>
      <c r="CU83" s="35"/>
      <c r="CV83" s="35"/>
      <c r="CW83" s="35"/>
      <c r="CX83" s="35"/>
      <c r="CY83" s="35"/>
    </row>
    <row r="84" spans="1:103" s="36" customFormat="1" x14ac:dyDescent="0.2">
      <c r="A84" s="58">
        <v>76</v>
      </c>
      <c r="B84" s="14" t="s">
        <v>1429</v>
      </c>
      <c r="C84" s="30" t="s">
        <v>79</v>
      </c>
      <c r="D84" s="31" t="s">
        <v>926</v>
      </c>
      <c r="E84" s="31"/>
      <c r="F84" s="31">
        <v>2010</v>
      </c>
      <c r="G84" s="32" t="s">
        <v>937</v>
      </c>
      <c r="H84" s="32"/>
      <c r="I84" s="31" t="s">
        <v>8</v>
      </c>
      <c r="J84" s="31" t="s">
        <v>36</v>
      </c>
      <c r="K84" s="31" t="s">
        <v>1471</v>
      </c>
      <c r="L84" s="31" t="s">
        <v>32</v>
      </c>
      <c r="M84" s="15" t="s">
        <v>25</v>
      </c>
      <c r="N84" s="31" t="s">
        <v>201</v>
      </c>
      <c r="O84" s="31" t="s">
        <v>404</v>
      </c>
      <c r="P84" s="31"/>
      <c r="Q84" s="32" t="s">
        <v>313</v>
      </c>
      <c r="R84" s="32" t="s">
        <v>935</v>
      </c>
      <c r="S84" s="31" t="s">
        <v>40</v>
      </c>
      <c r="T84" s="31" t="s">
        <v>240</v>
      </c>
      <c r="U84" s="31" t="s">
        <v>354</v>
      </c>
      <c r="V84" s="57">
        <v>10</v>
      </c>
      <c r="W84" s="57" t="str">
        <f t="shared" si="16"/>
        <v>L</v>
      </c>
      <c r="X84" s="31" t="s">
        <v>13</v>
      </c>
      <c r="Y84" s="31" t="s">
        <v>14</v>
      </c>
      <c r="Z84" s="31" t="s">
        <v>33</v>
      </c>
      <c r="AA84" s="31" t="s">
        <v>757</v>
      </c>
      <c r="AB84" s="31" t="s">
        <v>354</v>
      </c>
      <c r="AC84" s="15">
        <v>10</v>
      </c>
      <c r="AD84" s="15" t="str">
        <f t="shared" si="10"/>
        <v>L</v>
      </c>
      <c r="AE84" s="31" t="s">
        <v>13</v>
      </c>
      <c r="AF84" s="31" t="s">
        <v>14</v>
      </c>
      <c r="AG84" s="33">
        <f>75+75</f>
        <v>150</v>
      </c>
      <c r="AH84" s="33">
        <v>75</v>
      </c>
      <c r="AI84" s="33">
        <v>75</v>
      </c>
      <c r="AJ84" s="33">
        <v>71</v>
      </c>
      <c r="AK84" s="33">
        <v>4</v>
      </c>
      <c r="AL84" s="44">
        <v>75</v>
      </c>
      <c r="AM84" s="33">
        <v>71</v>
      </c>
      <c r="AN84" s="44">
        <v>4</v>
      </c>
      <c r="AO84" s="44">
        <v>75</v>
      </c>
      <c r="AP84" s="33">
        <v>50</v>
      </c>
      <c r="AQ84" s="33">
        <v>25</v>
      </c>
      <c r="AR84" s="33"/>
      <c r="AS84" s="33"/>
      <c r="AT84" s="33">
        <v>3</v>
      </c>
      <c r="AU84" s="33"/>
      <c r="AV84" s="33"/>
      <c r="AW84" s="33"/>
      <c r="AX84" s="33"/>
      <c r="AY84" s="33"/>
      <c r="AZ84" s="33"/>
      <c r="BA84" s="33">
        <v>75</v>
      </c>
      <c r="BB84" s="33">
        <v>75</v>
      </c>
      <c r="BC84" s="33">
        <v>69</v>
      </c>
      <c r="BD84" s="33">
        <v>6</v>
      </c>
      <c r="BE84" s="44">
        <v>75</v>
      </c>
      <c r="BF84" s="33">
        <v>69</v>
      </c>
      <c r="BG84" s="44">
        <v>6</v>
      </c>
      <c r="BH84" s="33">
        <v>75</v>
      </c>
      <c r="BI84" s="33">
        <v>53</v>
      </c>
      <c r="BJ84" s="33">
        <f>+BH84-BI84</f>
        <v>22</v>
      </c>
      <c r="BK84" s="33"/>
      <c r="BL84" s="33"/>
      <c r="BM84" s="33">
        <v>3</v>
      </c>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5"/>
      <c r="CO84" s="35"/>
      <c r="CP84" s="35"/>
      <c r="CQ84" s="35"/>
      <c r="CR84" s="35"/>
      <c r="CS84" s="35"/>
      <c r="CT84" s="35"/>
      <c r="CU84" s="35"/>
      <c r="CV84" s="35"/>
      <c r="CW84" s="35"/>
      <c r="CX84" s="35"/>
      <c r="CY84" s="35"/>
    </row>
    <row r="85" spans="1:103" s="36" customFormat="1" x14ac:dyDescent="0.2">
      <c r="A85" s="58">
        <v>77</v>
      </c>
      <c r="B85" s="14" t="s">
        <v>1429</v>
      </c>
      <c r="C85" s="30" t="s">
        <v>79</v>
      </c>
      <c r="D85" s="31" t="s">
        <v>812</v>
      </c>
      <c r="E85" s="31"/>
      <c r="F85" s="31">
        <v>2011</v>
      </c>
      <c r="G85" s="32" t="s">
        <v>938</v>
      </c>
      <c r="H85" s="32"/>
      <c r="I85" s="31" t="s">
        <v>8</v>
      </c>
      <c r="J85" s="31" t="s">
        <v>36</v>
      </c>
      <c r="K85" s="31" t="s">
        <v>1471</v>
      </c>
      <c r="L85" s="15" t="s">
        <v>68</v>
      </c>
      <c r="M85" s="15" t="s">
        <v>25</v>
      </c>
      <c r="N85" s="31" t="s">
        <v>201</v>
      </c>
      <c r="O85" s="31" t="s">
        <v>404</v>
      </c>
      <c r="P85" s="31"/>
      <c r="Q85" s="32" t="s">
        <v>313</v>
      </c>
      <c r="R85" s="32" t="s">
        <v>935</v>
      </c>
      <c r="S85" s="31" t="s">
        <v>40</v>
      </c>
      <c r="T85" s="31" t="s">
        <v>959</v>
      </c>
      <c r="U85" s="31" t="s">
        <v>354</v>
      </c>
      <c r="V85" s="57">
        <v>10</v>
      </c>
      <c r="W85" s="57" t="str">
        <f t="shared" si="16"/>
        <v>L</v>
      </c>
      <c r="X85" s="31" t="s">
        <v>13</v>
      </c>
      <c r="Y85" s="31" t="s">
        <v>14</v>
      </c>
      <c r="Z85" s="31" t="s">
        <v>33</v>
      </c>
      <c r="AA85" s="31" t="s">
        <v>405</v>
      </c>
      <c r="AB85" s="31" t="s">
        <v>354</v>
      </c>
      <c r="AC85" s="15">
        <v>10</v>
      </c>
      <c r="AD85" s="15" t="str">
        <f t="shared" si="10"/>
        <v>L</v>
      </c>
      <c r="AE85" s="31" t="s">
        <v>13</v>
      </c>
      <c r="AF85" s="31" t="s">
        <v>14</v>
      </c>
      <c r="AG85" s="33">
        <f>32+28</f>
        <v>60</v>
      </c>
      <c r="AH85" s="33">
        <v>32</v>
      </c>
      <c r="AI85" s="33">
        <v>32</v>
      </c>
      <c r="AJ85" s="33">
        <v>31</v>
      </c>
      <c r="AK85" s="33">
        <v>1</v>
      </c>
      <c r="AL85" s="44">
        <v>32</v>
      </c>
      <c r="AM85" s="33">
        <v>31</v>
      </c>
      <c r="AN85" s="44">
        <v>1</v>
      </c>
      <c r="AO85" s="44">
        <v>32</v>
      </c>
      <c r="AP85" s="33">
        <v>31</v>
      </c>
      <c r="AQ85" s="33">
        <v>1</v>
      </c>
      <c r="AR85" s="33"/>
      <c r="AS85" s="33"/>
      <c r="AT85" s="33"/>
      <c r="AU85" s="33"/>
      <c r="AV85" s="33"/>
      <c r="AW85" s="33"/>
      <c r="AX85" s="33"/>
      <c r="AY85" s="33"/>
      <c r="AZ85" s="33"/>
      <c r="BA85" s="33">
        <v>28</v>
      </c>
      <c r="BB85" s="33">
        <v>28</v>
      </c>
      <c r="BC85" s="33">
        <v>27</v>
      </c>
      <c r="BD85" s="33">
        <v>1</v>
      </c>
      <c r="BE85" s="44">
        <v>28</v>
      </c>
      <c r="BF85" s="33">
        <v>27</v>
      </c>
      <c r="BG85" s="44">
        <v>1</v>
      </c>
      <c r="BH85" s="33">
        <v>28</v>
      </c>
      <c r="BI85" s="33">
        <v>22</v>
      </c>
      <c r="BJ85" s="33">
        <v>6</v>
      </c>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5"/>
      <c r="CO85" s="35"/>
      <c r="CP85" s="35"/>
      <c r="CQ85" s="35"/>
      <c r="CR85" s="35"/>
      <c r="CS85" s="35"/>
      <c r="CT85" s="35"/>
      <c r="CU85" s="35"/>
      <c r="CV85" s="35"/>
      <c r="CW85" s="35"/>
      <c r="CX85" s="35"/>
      <c r="CY85" s="35"/>
    </row>
    <row r="86" spans="1:103" s="36" customFormat="1" x14ac:dyDescent="0.2">
      <c r="A86" s="58">
        <v>78</v>
      </c>
      <c r="B86" s="14" t="s">
        <v>1429</v>
      </c>
      <c r="C86" s="30" t="s">
        <v>79</v>
      </c>
      <c r="D86" s="31" t="s">
        <v>668</v>
      </c>
      <c r="E86" s="31"/>
      <c r="F86" s="31">
        <v>2012</v>
      </c>
      <c r="G86" s="32" t="s">
        <v>939</v>
      </c>
      <c r="H86" s="32"/>
      <c r="I86" s="31" t="s">
        <v>8</v>
      </c>
      <c r="J86" s="31" t="s">
        <v>36</v>
      </c>
      <c r="K86" s="31" t="s">
        <v>1471</v>
      </c>
      <c r="L86" s="31" t="s">
        <v>32</v>
      </c>
      <c r="M86" s="15" t="s">
        <v>25</v>
      </c>
      <c r="N86" s="31" t="s">
        <v>201</v>
      </c>
      <c r="O86" s="31" t="s">
        <v>404</v>
      </c>
      <c r="P86" s="31" t="s">
        <v>285</v>
      </c>
      <c r="Q86" s="32" t="s">
        <v>313</v>
      </c>
      <c r="R86" s="32" t="s">
        <v>935</v>
      </c>
      <c r="S86" s="31" t="s">
        <v>40</v>
      </c>
      <c r="T86" s="31" t="s">
        <v>240</v>
      </c>
      <c r="U86" s="31" t="s">
        <v>354</v>
      </c>
      <c r="V86" s="57">
        <v>10</v>
      </c>
      <c r="W86" s="57" t="str">
        <f t="shared" si="16"/>
        <v>L</v>
      </c>
      <c r="X86" s="31" t="s">
        <v>13</v>
      </c>
      <c r="Y86" s="31" t="s">
        <v>14</v>
      </c>
      <c r="Z86" s="31" t="s">
        <v>33</v>
      </c>
      <c r="AA86" s="31" t="s">
        <v>240</v>
      </c>
      <c r="AB86" s="31" t="s">
        <v>354</v>
      </c>
      <c r="AC86" s="15">
        <v>10</v>
      </c>
      <c r="AD86" s="15" t="str">
        <f t="shared" si="10"/>
        <v>L</v>
      </c>
      <c r="AE86" s="31" t="s">
        <v>13</v>
      </c>
      <c r="AF86" s="31" t="s">
        <v>14</v>
      </c>
      <c r="AG86" s="33">
        <f>31+30</f>
        <v>61</v>
      </c>
      <c r="AH86" s="33">
        <v>31</v>
      </c>
      <c r="AI86" s="33">
        <v>31</v>
      </c>
      <c r="AJ86" s="33">
        <v>19</v>
      </c>
      <c r="AK86" s="33">
        <v>12</v>
      </c>
      <c r="AL86" s="44">
        <v>31</v>
      </c>
      <c r="AM86" s="33">
        <v>19</v>
      </c>
      <c r="AN86" s="44">
        <v>12</v>
      </c>
      <c r="AO86" s="44"/>
      <c r="AP86" s="33"/>
      <c r="AQ86" s="33"/>
      <c r="AR86" s="33"/>
      <c r="AS86" s="33"/>
      <c r="AT86" s="33">
        <v>4</v>
      </c>
      <c r="AU86" s="33"/>
      <c r="AV86" s="33"/>
      <c r="AW86" s="33"/>
      <c r="AX86" s="33"/>
      <c r="AY86" s="33"/>
      <c r="AZ86" s="33"/>
      <c r="BA86" s="33">
        <v>30</v>
      </c>
      <c r="BB86" s="33">
        <v>30</v>
      </c>
      <c r="BC86" s="33">
        <v>17</v>
      </c>
      <c r="BD86" s="33">
        <v>13</v>
      </c>
      <c r="BE86" s="44">
        <v>30</v>
      </c>
      <c r="BF86" s="33">
        <v>17</v>
      </c>
      <c r="BG86" s="44">
        <f>+BE86-BF86</f>
        <v>13</v>
      </c>
      <c r="BH86" s="33"/>
      <c r="BI86" s="33"/>
      <c r="BJ86" s="33"/>
      <c r="BK86" s="33"/>
      <c r="BL86" s="33"/>
      <c r="BM86" s="33">
        <f>2+2+2</f>
        <v>6</v>
      </c>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5"/>
      <c r="CO86" s="35"/>
      <c r="CP86" s="35"/>
      <c r="CQ86" s="35"/>
      <c r="CR86" s="35"/>
      <c r="CS86" s="35"/>
      <c r="CT86" s="35"/>
      <c r="CU86" s="35"/>
      <c r="CV86" s="35"/>
      <c r="CW86" s="35"/>
      <c r="CX86" s="35"/>
      <c r="CY86" s="35"/>
    </row>
    <row r="87" spans="1:103" s="36" customFormat="1" x14ac:dyDescent="0.2">
      <c r="A87" s="58">
        <v>79</v>
      </c>
      <c r="B87" s="14" t="s">
        <v>1429</v>
      </c>
      <c r="C87" s="30" t="s">
        <v>79</v>
      </c>
      <c r="D87" s="31" t="s">
        <v>927</v>
      </c>
      <c r="E87" s="31"/>
      <c r="F87" s="31">
        <v>2012</v>
      </c>
      <c r="G87" s="32" t="s">
        <v>940</v>
      </c>
      <c r="H87" s="32"/>
      <c r="I87" s="31" t="s">
        <v>8</v>
      </c>
      <c r="J87" s="31" t="s">
        <v>36</v>
      </c>
      <c r="K87" s="31" t="s">
        <v>1471</v>
      </c>
      <c r="L87" s="15" t="s">
        <v>68</v>
      </c>
      <c r="M87" s="15" t="s">
        <v>25</v>
      </c>
      <c r="N87" s="31" t="s">
        <v>201</v>
      </c>
      <c r="O87" s="31" t="s">
        <v>404</v>
      </c>
      <c r="P87" s="31"/>
      <c r="Q87" s="32" t="s">
        <v>313</v>
      </c>
      <c r="R87" s="32" t="s">
        <v>935</v>
      </c>
      <c r="S87" s="31" t="s">
        <v>40</v>
      </c>
      <c r="T87" s="31" t="s">
        <v>959</v>
      </c>
      <c r="U87" s="31" t="s">
        <v>354</v>
      </c>
      <c r="V87" s="57">
        <v>10</v>
      </c>
      <c r="W87" s="57" t="str">
        <f t="shared" si="16"/>
        <v>L</v>
      </c>
      <c r="X87" s="31" t="s">
        <v>13</v>
      </c>
      <c r="Y87" s="31" t="s">
        <v>14</v>
      </c>
      <c r="Z87" s="31" t="s">
        <v>33</v>
      </c>
      <c r="AA87" s="31" t="s">
        <v>963</v>
      </c>
      <c r="AB87" s="31">
        <v>7</v>
      </c>
      <c r="AC87" s="15">
        <f t="shared" si="12"/>
        <v>7</v>
      </c>
      <c r="AD87" s="15" t="str">
        <f t="shared" si="10"/>
        <v>L</v>
      </c>
      <c r="AE87" s="31" t="s">
        <v>13</v>
      </c>
      <c r="AF87" s="31" t="s">
        <v>14</v>
      </c>
      <c r="AG87" s="33">
        <f>32+28</f>
        <v>60</v>
      </c>
      <c r="AH87" s="33">
        <v>32</v>
      </c>
      <c r="AI87" s="33">
        <v>32</v>
      </c>
      <c r="AJ87" s="33">
        <v>30</v>
      </c>
      <c r="AK87" s="33">
        <v>2</v>
      </c>
      <c r="AL87" s="44">
        <v>32</v>
      </c>
      <c r="AM87" s="33">
        <v>30</v>
      </c>
      <c r="AN87" s="44">
        <v>2</v>
      </c>
      <c r="AO87" s="44"/>
      <c r="AP87" s="33"/>
      <c r="AQ87" s="33"/>
      <c r="AR87" s="33"/>
      <c r="AS87" s="33"/>
      <c r="AT87" s="33"/>
      <c r="AU87" s="33"/>
      <c r="AV87" s="33"/>
      <c r="AW87" s="33"/>
      <c r="AX87" s="33"/>
      <c r="AY87" s="33"/>
      <c r="AZ87" s="33"/>
      <c r="BA87" s="33">
        <v>28</v>
      </c>
      <c r="BB87" s="33">
        <v>28</v>
      </c>
      <c r="BC87" s="33">
        <v>20</v>
      </c>
      <c r="BD87" s="33">
        <v>8</v>
      </c>
      <c r="BE87" s="44">
        <v>28</v>
      </c>
      <c r="BF87" s="33">
        <v>20</v>
      </c>
      <c r="BG87" s="44">
        <v>8</v>
      </c>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5"/>
      <c r="CO87" s="35"/>
      <c r="CP87" s="35"/>
      <c r="CQ87" s="35"/>
      <c r="CR87" s="35"/>
      <c r="CS87" s="35"/>
      <c r="CT87" s="35"/>
      <c r="CU87" s="35"/>
      <c r="CV87" s="35"/>
      <c r="CW87" s="35"/>
      <c r="CX87" s="35"/>
      <c r="CY87" s="35"/>
    </row>
    <row r="88" spans="1:103" s="36" customFormat="1" x14ac:dyDescent="0.2">
      <c r="A88" s="58">
        <v>80</v>
      </c>
      <c r="B88" s="14" t="s">
        <v>1429</v>
      </c>
      <c r="C88" s="30" t="s">
        <v>79</v>
      </c>
      <c r="D88" s="31" t="s">
        <v>815</v>
      </c>
      <c r="E88" s="31"/>
      <c r="F88" s="31">
        <v>2014</v>
      </c>
      <c r="G88" s="32" t="s">
        <v>943</v>
      </c>
      <c r="H88" s="32"/>
      <c r="I88" s="31" t="s">
        <v>8</v>
      </c>
      <c r="J88" s="31" t="s">
        <v>36</v>
      </c>
      <c r="K88" s="31" t="s">
        <v>1471</v>
      </c>
      <c r="L88" s="31" t="s">
        <v>32</v>
      </c>
      <c r="M88" s="15" t="s">
        <v>25</v>
      </c>
      <c r="N88" s="31" t="s">
        <v>201</v>
      </c>
      <c r="O88" s="31" t="s">
        <v>404</v>
      </c>
      <c r="P88" s="31"/>
      <c r="Q88" s="32" t="s">
        <v>313</v>
      </c>
      <c r="R88" s="32" t="s">
        <v>935</v>
      </c>
      <c r="S88" s="31" t="s">
        <v>40</v>
      </c>
      <c r="T88" s="31" t="s">
        <v>240</v>
      </c>
      <c r="U88" s="31">
        <v>7</v>
      </c>
      <c r="V88" s="57">
        <f t="shared" si="11"/>
        <v>7</v>
      </c>
      <c r="W88" s="57" t="str">
        <f t="shared" si="16"/>
        <v>L</v>
      </c>
      <c r="X88" s="31" t="s">
        <v>13</v>
      </c>
      <c r="Y88" s="31" t="s">
        <v>14</v>
      </c>
      <c r="Z88" s="31" t="s">
        <v>33</v>
      </c>
      <c r="AA88" s="31" t="s">
        <v>405</v>
      </c>
      <c r="AB88" s="31">
        <v>7</v>
      </c>
      <c r="AC88" s="15">
        <f t="shared" si="12"/>
        <v>7</v>
      </c>
      <c r="AD88" s="15" t="str">
        <f t="shared" si="10"/>
        <v>L</v>
      </c>
      <c r="AE88" s="31" t="s">
        <v>13</v>
      </c>
      <c r="AF88" s="31" t="s">
        <v>14</v>
      </c>
      <c r="AG88" s="33">
        <f>92+92</f>
        <v>184</v>
      </c>
      <c r="AH88" s="33">
        <v>92</v>
      </c>
      <c r="AI88" s="33">
        <v>92</v>
      </c>
      <c r="AJ88" s="33">
        <v>91</v>
      </c>
      <c r="AK88" s="33">
        <v>1</v>
      </c>
      <c r="AL88" s="44">
        <v>92</v>
      </c>
      <c r="AM88" s="33">
        <v>91</v>
      </c>
      <c r="AN88" s="44">
        <v>1</v>
      </c>
      <c r="AO88" s="44"/>
      <c r="AP88" s="33"/>
      <c r="AQ88" s="33"/>
      <c r="AR88" s="33"/>
      <c r="AS88" s="33"/>
      <c r="AT88" s="33">
        <v>4</v>
      </c>
      <c r="AU88" s="33"/>
      <c r="AV88" s="33"/>
      <c r="AW88" s="33"/>
      <c r="AX88" s="33"/>
      <c r="AY88" s="33"/>
      <c r="AZ88" s="33"/>
      <c r="BA88" s="33">
        <v>92</v>
      </c>
      <c r="BB88" s="33">
        <v>92</v>
      </c>
      <c r="BC88" s="33">
        <v>71</v>
      </c>
      <c r="BD88" s="33">
        <v>21</v>
      </c>
      <c r="BE88" s="44">
        <v>92</v>
      </c>
      <c r="BF88" s="33">
        <v>71</v>
      </c>
      <c r="BG88" s="44">
        <f>+BE88-BF88</f>
        <v>21</v>
      </c>
      <c r="BH88" s="33"/>
      <c r="BI88" s="33"/>
      <c r="BJ88" s="33"/>
      <c r="BK88" s="33"/>
      <c r="BL88" s="33"/>
      <c r="BM88" s="33">
        <f>1+4</f>
        <v>5</v>
      </c>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5"/>
      <c r="CO88" s="35"/>
      <c r="CP88" s="35"/>
      <c r="CQ88" s="35"/>
      <c r="CR88" s="35"/>
      <c r="CS88" s="35"/>
      <c r="CT88" s="35"/>
      <c r="CU88" s="35"/>
      <c r="CV88" s="35"/>
      <c r="CW88" s="35"/>
      <c r="CX88" s="35"/>
      <c r="CY88" s="35"/>
    </row>
    <row r="89" spans="1:103" s="36" customFormat="1" x14ac:dyDescent="0.2">
      <c r="A89" s="58">
        <v>81</v>
      </c>
      <c r="B89" s="14" t="s">
        <v>1429</v>
      </c>
      <c r="C89" s="30" t="s">
        <v>79</v>
      </c>
      <c r="D89" s="31" t="s">
        <v>817</v>
      </c>
      <c r="E89" s="31"/>
      <c r="F89" s="31">
        <v>2014</v>
      </c>
      <c r="G89" s="32" t="s">
        <v>944</v>
      </c>
      <c r="H89" s="32"/>
      <c r="I89" s="31" t="s">
        <v>8</v>
      </c>
      <c r="J89" s="31" t="s">
        <v>36</v>
      </c>
      <c r="K89" s="31" t="s">
        <v>1471</v>
      </c>
      <c r="L89" s="31" t="s">
        <v>32</v>
      </c>
      <c r="M89" s="15" t="s">
        <v>25</v>
      </c>
      <c r="N89" s="31" t="s">
        <v>201</v>
      </c>
      <c r="O89" s="31" t="s">
        <v>404</v>
      </c>
      <c r="P89" s="31"/>
      <c r="Q89" s="32" t="s">
        <v>313</v>
      </c>
      <c r="R89" s="32" t="s">
        <v>935</v>
      </c>
      <c r="S89" s="31" t="s">
        <v>40</v>
      </c>
      <c r="T89" s="31" t="s">
        <v>240</v>
      </c>
      <c r="U89" s="31">
        <v>10</v>
      </c>
      <c r="V89" s="57">
        <f t="shared" si="11"/>
        <v>10</v>
      </c>
      <c r="W89" s="57" t="str">
        <f t="shared" si="16"/>
        <v>L</v>
      </c>
      <c r="X89" s="31" t="s">
        <v>13</v>
      </c>
      <c r="Y89" s="31" t="s">
        <v>14</v>
      </c>
      <c r="Z89" s="31" t="s">
        <v>33</v>
      </c>
      <c r="AA89" s="31" t="s">
        <v>240</v>
      </c>
      <c r="AB89" s="31">
        <v>10</v>
      </c>
      <c r="AC89" s="15">
        <f t="shared" si="12"/>
        <v>10</v>
      </c>
      <c r="AD89" s="15" t="str">
        <f t="shared" si="10"/>
        <v>L</v>
      </c>
      <c r="AE89" s="31" t="s">
        <v>13</v>
      </c>
      <c r="AF89" s="31" t="s">
        <v>14</v>
      </c>
      <c r="AG89" s="33">
        <f>100+100</f>
        <v>200</v>
      </c>
      <c r="AH89" s="33">
        <v>100</v>
      </c>
      <c r="AI89" s="33">
        <v>100</v>
      </c>
      <c r="AJ89" s="33">
        <v>96</v>
      </c>
      <c r="AK89" s="33">
        <v>4</v>
      </c>
      <c r="AL89" s="44">
        <v>100</v>
      </c>
      <c r="AM89" s="33">
        <v>96</v>
      </c>
      <c r="AN89" s="44">
        <v>4</v>
      </c>
      <c r="AO89" s="44">
        <v>100</v>
      </c>
      <c r="AP89" s="33">
        <v>96</v>
      </c>
      <c r="AQ89" s="33">
        <v>4</v>
      </c>
      <c r="AR89" s="33"/>
      <c r="AS89" s="33"/>
      <c r="AT89" s="33"/>
      <c r="AU89" s="33"/>
      <c r="AV89" s="33"/>
      <c r="AW89" s="33"/>
      <c r="AX89" s="33"/>
      <c r="AY89" s="33"/>
      <c r="AZ89" s="33"/>
      <c r="BA89" s="33">
        <v>100</v>
      </c>
      <c r="BB89" s="33">
        <v>100</v>
      </c>
      <c r="BC89" s="33">
        <v>82</v>
      </c>
      <c r="BD89" s="33">
        <v>18</v>
      </c>
      <c r="BE89" s="44">
        <v>100</v>
      </c>
      <c r="BF89" s="33">
        <v>82</v>
      </c>
      <c r="BG89" s="44">
        <v>18</v>
      </c>
      <c r="BH89" s="33">
        <v>100</v>
      </c>
      <c r="BI89" s="33">
        <v>82</v>
      </c>
      <c r="BJ89" s="33">
        <v>18</v>
      </c>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5"/>
      <c r="CO89" s="35"/>
      <c r="CP89" s="35"/>
      <c r="CQ89" s="35"/>
      <c r="CR89" s="35"/>
      <c r="CS89" s="35"/>
      <c r="CT89" s="35"/>
      <c r="CU89" s="35"/>
      <c r="CV89" s="35"/>
      <c r="CW89" s="35"/>
      <c r="CX89" s="35"/>
      <c r="CY89" s="35"/>
    </row>
    <row r="90" spans="1:103" s="36" customFormat="1" x14ac:dyDescent="0.2">
      <c r="A90" s="58">
        <v>82</v>
      </c>
      <c r="B90" s="14" t="s">
        <v>1429</v>
      </c>
      <c r="C90" s="30" t="s">
        <v>79</v>
      </c>
      <c r="D90" s="31" t="s">
        <v>143</v>
      </c>
      <c r="E90" s="31"/>
      <c r="F90" s="31">
        <v>2014</v>
      </c>
      <c r="G90" s="32" t="s">
        <v>945</v>
      </c>
      <c r="H90" s="32"/>
      <c r="I90" s="31" t="s">
        <v>8</v>
      </c>
      <c r="J90" s="31" t="s">
        <v>36</v>
      </c>
      <c r="K90" s="31" t="s">
        <v>1471</v>
      </c>
      <c r="L90" s="31" t="s">
        <v>32</v>
      </c>
      <c r="M90" s="15" t="s">
        <v>25</v>
      </c>
      <c r="N90" s="31" t="s">
        <v>201</v>
      </c>
      <c r="O90" s="31" t="s">
        <v>404</v>
      </c>
      <c r="P90" s="31"/>
      <c r="Q90" s="32" t="s">
        <v>313</v>
      </c>
      <c r="R90" s="32" t="s">
        <v>935</v>
      </c>
      <c r="S90" s="31" t="s">
        <v>40</v>
      </c>
      <c r="T90" s="31" t="s">
        <v>240</v>
      </c>
      <c r="U90" s="31">
        <v>14</v>
      </c>
      <c r="V90" s="57">
        <f t="shared" si="11"/>
        <v>14</v>
      </c>
      <c r="W90" s="57" t="str">
        <f t="shared" si="16"/>
        <v>L</v>
      </c>
      <c r="X90" s="31" t="s">
        <v>13</v>
      </c>
      <c r="Y90" s="31" t="s">
        <v>14</v>
      </c>
      <c r="Z90" s="31" t="s">
        <v>33</v>
      </c>
      <c r="AA90" s="31" t="s">
        <v>405</v>
      </c>
      <c r="AB90" s="31">
        <v>14</v>
      </c>
      <c r="AC90" s="15">
        <f t="shared" si="12"/>
        <v>14</v>
      </c>
      <c r="AD90" s="15" t="str">
        <f t="shared" si="10"/>
        <v>L</v>
      </c>
      <c r="AE90" s="31" t="s">
        <v>13</v>
      </c>
      <c r="AF90" s="31" t="s">
        <v>14</v>
      </c>
      <c r="AG90" s="33">
        <f>32+32</f>
        <v>64</v>
      </c>
      <c r="AH90" s="33">
        <v>32</v>
      </c>
      <c r="AI90" s="33">
        <v>32</v>
      </c>
      <c r="AJ90" s="33">
        <v>30</v>
      </c>
      <c r="AK90" s="33">
        <v>2</v>
      </c>
      <c r="AL90" s="44">
        <v>32</v>
      </c>
      <c r="AM90" s="33">
        <v>30</v>
      </c>
      <c r="AN90" s="44">
        <v>2</v>
      </c>
      <c r="AO90" s="44"/>
      <c r="AP90" s="33"/>
      <c r="AQ90" s="33"/>
      <c r="AR90" s="33"/>
      <c r="AS90" s="33"/>
      <c r="AT90" s="33"/>
      <c r="AU90" s="33"/>
      <c r="AV90" s="33"/>
      <c r="AW90" s="33"/>
      <c r="AX90" s="33"/>
      <c r="AY90" s="33"/>
      <c r="AZ90" s="33"/>
      <c r="BA90" s="33">
        <v>32</v>
      </c>
      <c r="BB90" s="33">
        <v>32</v>
      </c>
      <c r="BC90" s="33">
        <v>23</v>
      </c>
      <c r="BD90" s="33">
        <v>6</v>
      </c>
      <c r="BE90" s="44">
        <v>32</v>
      </c>
      <c r="BF90" s="33">
        <v>23</v>
      </c>
      <c r="BG90" s="44">
        <v>6</v>
      </c>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5"/>
      <c r="CO90" s="35"/>
      <c r="CP90" s="35"/>
      <c r="CQ90" s="35"/>
      <c r="CR90" s="35"/>
      <c r="CS90" s="35"/>
      <c r="CT90" s="35"/>
      <c r="CU90" s="35"/>
      <c r="CV90" s="35"/>
      <c r="CW90" s="35"/>
      <c r="CX90" s="35"/>
      <c r="CY90" s="35"/>
    </row>
    <row r="91" spans="1:103" s="36" customFormat="1" x14ac:dyDescent="0.2">
      <c r="A91" s="58">
        <v>83</v>
      </c>
      <c r="B91" s="14" t="s">
        <v>1429</v>
      </c>
      <c r="C91" s="30" t="s">
        <v>79</v>
      </c>
      <c r="D91" s="31" t="s">
        <v>928</v>
      </c>
      <c r="E91" s="31"/>
      <c r="F91" s="31">
        <v>2016</v>
      </c>
      <c r="G91" s="32" t="s">
        <v>946</v>
      </c>
      <c r="H91" s="32"/>
      <c r="I91" s="31" t="s">
        <v>8</v>
      </c>
      <c r="J91" s="31" t="s">
        <v>36</v>
      </c>
      <c r="K91" s="31" t="s">
        <v>1471</v>
      </c>
      <c r="L91" s="15" t="s">
        <v>68</v>
      </c>
      <c r="M91" s="15" t="s">
        <v>25</v>
      </c>
      <c r="N91" s="31" t="s">
        <v>201</v>
      </c>
      <c r="O91" s="31" t="s">
        <v>404</v>
      </c>
      <c r="P91" s="31"/>
      <c r="Q91" s="32" t="s">
        <v>313</v>
      </c>
      <c r="R91" s="32" t="s">
        <v>935</v>
      </c>
      <c r="S91" s="31" t="s">
        <v>40</v>
      </c>
      <c r="T91" s="31" t="s">
        <v>959</v>
      </c>
      <c r="U91" s="31" t="s">
        <v>354</v>
      </c>
      <c r="V91" s="57">
        <v>10</v>
      </c>
      <c r="W91" s="57" t="str">
        <f t="shared" si="16"/>
        <v>L</v>
      </c>
      <c r="X91" s="31" t="s">
        <v>13</v>
      </c>
      <c r="Y91" s="31" t="s">
        <v>14</v>
      </c>
      <c r="Z91" s="31" t="s">
        <v>33</v>
      </c>
      <c r="AA91" s="31" t="s">
        <v>964</v>
      </c>
      <c r="AB91" s="31" t="s">
        <v>354</v>
      </c>
      <c r="AC91" s="15">
        <v>10</v>
      </c>
      <c r="AD91" s="15" t="str">
        <f t="shared" si="10"/>
        <v>L</v>
      </c>
      <c r="AE91" s="31" t="s">
        <v>13</v>
      </c>
      <c r="AF91" s="31" t="s">
        <v>14</v>
      </c>
      <c r="AG91" s="33">
        <v>96</v>
      </c>
      <c r="AH91" s="33">
        <v>50</v>
      </c>
      <c r="AI91" s="33">
        <v>50</v>
      </c>
      <c r="AJ91" s="33">
        <v>49</v>
      </c>
      <c r="AK91" s="33">
        <v>1</v>
      </c>
      <c r="AL91" s="44">
        <v>50</v>
      </c>
      <c r="AM91" s="33">
        <v>49</v>
      </c>
      <c r="AN91" s="44">
        <v>1</v>
      </c>
      <c r="AO91" s="44">
        <v>28</v>
      </c>
      <c r="AP91" s="33">
        <v>26</v>
      </c>
      <c r="AQ91" s="33">
        <v>2</v>
      </c>
      <c r="AR91" s="33"/>
      <c r="AS91" s="33"/>
      <c r="AT91" s="33">
        <v>13</v>
      </c>
      <c r="AU91" s="33"/>
      <c r="AV91" s="33"/>
      <c r="AW91" s="33"/>
      <c r="AX91" s="33"/>
      <c r="AY91" s="33"/>
      <c r="AZ91" s="33"/>
      <c r="BA91" s="33">
        <v>46</v>
      </c>
      <c r="BB91" s="33">
        <v>46</v>
      </c>
      <c r="BC91" s="33">
        <v>36</v>
      </c>
      <c r="BD91" s="33">
        <v>10</v>
      </c>
      <c r="BE91" s="44">
        <v>46</v>
      </c>
      <c r="BF91" s="33">
        <v>36</v>
      </c>
      <c r="BG91" s="44">
        <v>10</v>
      </c>
      <c r="BH91" s="33">
        <v>30</v>
      </c>
      <c r="BI91" s="33">
        <v>20</v>
      </c>
      <c r="BJ91" s="33">
        <v>10</v>
      </c>
      <c r="BK91" s="33"/>
      <c r="BL91" s="33"/>
      <c r="BM91" s="33">
        <v>10</v>
      </c>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5"/>
      <c r="CO91" s="35"/>
      <c r="CP91" s="35"/>
      <c r="CQ91" s="35"/>
      <c r="CR91" s="35"/>
      <c r="CS91" s="35"/>
      <c r="CT91" s="35"/>
      <c r="CU91" s="35"/>
      <c r="CV91" s="35"/>
      <c r="CW91" s="35"/>
      <c r="CX91" s="35"/>
      <c r="CY91" s="35"/>
    </row>
    <row r="92" spans="1:103" s="36" customFormat="1" x14ac:dyDescent="0.2">
      <c r="A92" s="58">
        <v>84</v>
      </c>
      <c r="B92" s="14" t="s">
        <v>1429</v>
      </c>
      <c r="C92" s="30" t="s">
        <v>79</v>
      </c>
      <c r="D92" s="31" t="s">
        <v>929</v>
      </c>
      <c r="E92" s="31"/>
      <c r="F92" s="31">
        <v>2016</v>
      </c>
      <c r="G92" s="32" t="s">
        <v>947</v>
      </c>
      <c r="H92" s="32"/>
      <c r="I92" s="31" t="s">
        <v>8</v>
      </c>
      <c r="J92" s="31" t="s">
        <v>36</v>
      </c>
      <c r="K92" s="31" t="s">
        <v>1471</v>
      </c>
      <c r="L92" s="15" t="s">
        <v>68</v>
      </c>
      <c r="M92" s="15" t="s">
        <v>25</v>
      </c>
      <c r="N92" s="31" t="s">
        <v>201</v>
      </c>
      <c r="O92" s="31" t="s">
        <v>404</v>
      </c>
      <c r="P92" s="31"/>
      <c r="Q92" s="32" t="s">
        <v>313</v>
      </c>
      <c r="R92" s="32" t="s">
        <v>935</v>
      </c>
      <c r="S92" s="31" t="s">
        <v>40</v>
      </c>
      <c r="T92" s="31" t="s">
        <v>959</v>
      </c>
      <c r="U92" s="31">
        <v>14</v>
      </c>
      <c r="V92" s="57">
        <f t="shared" si="11"/>
        <v>14</v>
      </c>
      <c r="W92" s="57" t="str">
        <f t="shared" si="16"/>
        <v>L</v>
      </c>
      <c r="X92" s="31" t="s">
        <v>13</v>
      </c>
      <c r="Y92" s="31" t="s">
        <v>14</v>
      </c>
      <c r="Z92" s="31" t="s">
        <v>33</v>
      </c>
      <c r="AA92" s="31" t="s">
        <v>965</v>
      </c>
      <c r="AB92" s="31">
        <v>14</v>
      </c>
      <c r="AC92" s="15">
        <f t="shared" si="12"/>
        <v>14</v>
      </c>
      <c r="AD92" s="15" t="str">
        <f t="shared" si="10"/>
        <v>L</v>
      </c>
      <c r="AE92" s="31" t="s">
        <v>13</v>
      </c>
      <c r="AF92" s="31" t="s">
        <v>14</v>
      </c>
      <c r="AG92" s="33">
        <f>32+32</f>
        <v>64</v>
      </c>
      <c r="AH92" s="33">
        <v>32</v>
      </c>
      <c r="AI92" s="33">
        <v>32</v>
      </c>
      <c r="AJ92" s="33">
        <v>30</v>
      </c>
      <c r="AK92" s="33">
        <v>2</v>
      </c>
      <c r="AL92" s="44">
        <v>32</v>
      </c>
      <c r="AM92" s="33">
        <v>30</v>
      </c>
      <c r="AN92" s="44">
        <v>2</v>
      </c>
      <c r="AO92" s="44">
        <v>32</v>
      </c>
      <c r="AP92" s="33">
        <v>28</v>
      </c>
      <c r="AQ92" s="33">
        <v>4</v>
      </c>
      <c r="AR92" s="33"/>
      <c r="AS92" s="33"/>
      <c r="AT92" s="33">
        <v>1</v>
      </c>
      <c r="AU92" s="33"/>
      <c r="AV92" s="33"/>
      <c r="AW92" s="33"/>
      <c r="AX92" s="33"/>
      <c r="AY92" s="33"/>
      <c r="AZ92" s="33"/>
      <c r="BA92" s="33">
        <v>32</v>
      </c>
      <c r="BB92" s="33">
        <v>32</v>
      </c>
      <c r="BC92" s="33">
        <v>26</v>
      </c>
      <c r="BD92" s="33">
        <v>6</v>
      </c>
      <c r="BE92" s="44">
        <v>32</v>
      </c>
      <c r="BF92" s="33">
        <v>26</v>
      </c>
      <c r="BG92" s="44">
        <v>6</v>
      </c>
      <c r="BH92" s="33">
        <v>32</v>
      </c>
      <c r="BI92" s="33">
        <v>23</v>
      </c>
      <c r="BJ92" s="33">
        <f>+BH92-BI92</f>
        <v>9</v>
      </c>
      <c r="BK92" s="33"/>
      <c r="BL92" s="33"/>
      <c r="BM92" s="33">
        <v>6</v>
      </c>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5"/>
      <c r="CO92" s="35"/>
      <c r="CP92" s="35"/>
      <c r="CQ92" s="35"/>
      <c r="CR92" s="35"/>
      <c r="CS92" s="35"/>
      <c r="CT92" s="35"/>
      <c r="CU92" s="35"/>
      <c r="CV92" s="35"/>
      <c r="CW92" s="35"/>
      <c r="CX92" s="35"/>
      <c r="CY92" s="35"/>
    </row>
    <row r="93" spans="1:103" s="36" customFormat="1" x14ac:dyDescent="0.2">
      <c r="A93" s="58">
        <v>85</v>
      </c>
      <c r="B93" s="14" t="s">
        <v>1429</v>
      </c>
      <c r="C93" s="30" t="s">
        <v>79</v>
      </c>
      <c r="D93" s="31" t="s">
        <v>29</v>
      </c>
      <c r="E93" s="31"/>
      <c r="F93" s="31">
        <v>2016</v>
      </c>
      <c r="G93" s="32" t="s">
        <v>948</v>
      </c>
      <c r="H93" s="32"/>
      <c r="I93" s="31" t="s">
        <v>8</v>
      </c>
      <c r="J93" s="31" t="s">
        <v>36</v>
      </c>
      <c r="K93" s="31" t="s">
        <v>1471</v>
      </c>
      <c r="L93" s="31" t="s">
        <v>32</v>
      </c>
      <c r="M93" s="15" t="s">
        <v>25</v>
      </c>
      <c r="N93" s="31" t="s">
        <v>201</v>
      </c>
      <c r="O93" s="31" t="s">
        <v>404</v>
      </c>
      <c r="P93" s="31"/>
      <c r="Q93" s="32" t="s">
        <v>313</v>
      </c>
      <c r="R93" s="32" t="s">
        <v>935</v>
      </c>
      <c r="S93" s="31" t="s">
        <v>40</v>
      </c>
      <c r="T93" s="31" t="s">
        <v>240</v>
      </c>
      <c r="U93" s="31">
        <v>7</v>
      </c>
      <c r="V93" s="57">
        <f t="shared" si="11"/>
        <v>7</v>
      </c>
      <c r="W93" s="57" t="str">
        <f t="shared" si="16"/>
        <v>L</v>
      </c>
      <c r="X93" s="31" t="s">
        <v>13</v>
      </c>
      <c r="Y93" s="31" t="s">
        <v>14</v>
      </c>
      <c r="Z93" s="31" t="s">
        <v>33</v>
      </c>
      <c r="AA93" s="31" t="s">
        <v>405</v>
      </c>
      <c r="AB93" s="31">
        <v>7</v>
      </c>
      <c r="AC93" s="15">
        <f t="shared" si="12"/>
        <v>7</v>
      </c>
      <c r="AD93" s="15" t="str">
        <f t="shared" si="10"/>
        <v>L</v>
      </c>
      <c r="AE93" s="31" t="s">
        <v>13</v>
      </c>
      <c r="AF93" s="31" t="s">
        <v>14</v>
      </c>
      <c r="AG93" s="33">
        <v>110</v>
      </c>
      <c r="AH93" s="33">
        <v>64</v>
      </c>
      <c r="AI93" s="33">
        <v>64</v>
      </c>
      <c r="AJ93" s="33">
        <v>60</v>
      </c>
      <c r="AK93" s="33">
        <v>4</v>
      </c>
      <c r="AL93" s="44">
        <v>64</v>
      </c>
      <c r="AM93" s="33">
        <v>60</v>
      </c>
      <c r="AN93" s="44">
        <v>4</v>
      </c>
      <c r="AO93" s="44"/>
      <c r="AP93" s="33"/>
      <c r="AQ93" s="33"/>
      <c r="AR93" s="33"/>
      <c r="AS93" s="33"/>
      <c r="AT93" s="33">
        <v>7</v>
      </c>
      <c r="AU93" s="33"/>
      <c r="AV93" s="33"/>
      <c r="AW93" s="33"/>
      <c r="AX93" s="33"/>
      <c r="AY93" s="33"/>
      <c r="AZ93" s="33"/>
      <c r="BA93" s="33">
        <v>56</v>
      </c>
      <c r="BB93" s="33">
        <v>56</v>
      </c>
      <c r="BC93" s="33">
        <v>41</v>
      </c>
      <c r="BD93" s="33">
        <v>15</v>
      </c>
      <c r="BE93" s="44">
        <v>56</v>
      </c>
      <c r="BF93" s="33">
        <v>41</v>
      </c>
      <c r="BG93" s="44">
        <f>+BE93-BF93</f>
        <v>15</v>
      </c>
      <c r="BH93" s="33"/>
      <c r="BI93" s="33"/>
      <c r="BJ93" s="33"/>
      <c r="BK93" s="33"/>
      <c r="BL93" s="33"/>
      <c r="BM93" s="33">
        <v>6</v>
      </c>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5"/>
      <c r="CO93" s="35"/>
      <c r="CP93" s="35"/>
      <c r="CQ93" s="35"/>
      <c r="CR93" s="35"/>
      <c r="CS93" s="35"/>
      <c r="CT93" s="35"/>
      <c r="CU93" s="35"/>
      <c r="CV93" s="35"/>
      <c r="CW93" s="35"/>
      <c r="CX93" s="35"/>
      <c r="CY93" s="35"/>
    </row>
    <row r="94" spans="1:103" s="36" customFormat="1" x14ac:dyDescent="0.2">
      <c r="A94" s="58">
        <v>86</v>
      </c>
      <c r="B94" s="14" t="s">
        <v>1429</v>
      </c>
      <c r="C94" s="30" t="s">
        <v>79</v>
      </c>
      <c r="D94" s="31" t="s">
        <v>814</v>
      </c>
      <c r="E94" s="31"/>
      <c r="F94" s="31">
        <v>2016</v>
      </c>
      <c r="G94" s="32" t="s">
        <v>949</v>
      </c>
      <c r="H94" s="32"/>
      <c r="I94" s="31" t="s">
        <v>8</v>
      </c>
      <c r="J94" s="31" t="s">
        <v>36</v>
      </c>
      <c r="K94" s="31" t="s">
        <v>1471</v>
      </c>
      <c r="L94" s="15" t="s">
        <v>68</v>
      </c>
      <c r="M94" s="15" t="s">
        <v>25</v>
      </c>
      <c r="N94" s="31" t="s">
        <v>201</v>
      </c>
      <c r="O94" s="31" t="s">
        <v>404</v>
      </c>
      <c r="P94" s="31"/>
      <c r="Q94" s="32" t="s">
        <v>313</v>
      </c>
      <c r="R94" s="32" t="s">
        <v>935</v>
      </c>
      <c r="S94" s="31" t="s">
        <v>40</v>
      </c>
      <c r="T94" s="31" t="s">
        <v>959</v>
      </c>
      <c r="U94" s="31">
        <v>10</v>
      </c>
      <c r="V94" s="57">
        <f t="shared" si="11"/>
        <v>10</v>
      </c>
      <c r="W94" s="57" t="str">
        <f t="shared" si="16"/>
        <v>L</v>
      </c>
      <c r="X94" s="31" t="s">
        <v>13</v>
      </c>
      <c r="Y94" s="31" t="s">
        <v>14</v>
      </c>
      <c r="Z94" s="31" t="s">
        <v>33</v>
      </c>
      <c r="AA94" s="31" t="s">
        <v>240</v>
      </c>
      <c r="AB94" s="31">
        <v>10</v>
      </c>
      <c r="AC94" s="15">
        <f t="shared" si="12"/>
        <v>10</v>
      </c>
      <c r="AD94" s="15" t="str">
        <f t="shared" si="10"/>
        <v>L</v>
      </c>
      <c r="AE94" s="31" t="s">
        <v>13</v>
      </c>
      <c r="AF94" s="31" t="s">
        <v>14</v>
      </c>
      <c r="AG94" s="33">
        <v>60</v>
      </c>
      <c r="AH94" s="33">
        <v>30</v>
      </c>
      <c r="AI94" s="33">
        <v>30</v>
      </c>
      <c r="AJ94" s="33">
        <v>28</v>
      </c>
      <c r="AK94" s="33">
        <v>2</v>
      </c>
      <c r="AL94" s="44">
        <v>30</v>
      </c>
      <c r="AM94" s="33">
        <v>28</v>
      </c>
      <c r="AN94" s="44">
        <v>2</v>
      </c>
      <c r="AO94" s="44">
        <v>30</v>
      </c>
      <c r="AP94" s="33">
        <v>28</v>
      </c>
      <c r="AQ94" s="33">
        <v>2</v>
      </c>
      <c r="AR94" s="33"/>
      <c r="AS94" s="33"/>
      <c r="AT94" s="33"/>
      <c r="AU94" s="33"/>
      <c r="AV94" s="33"/>
      <c r="AW94" s="33"/>
      <c r="AX94" s="33"/>
      <c r="AY94" s="33"/>
      <c r="AZ94" s="33"/>
      <c r="BA94" s="33">
        <v>30</v>
      </c>
      <c r="BB94" s="33">
        <v>30</v>
      </c>
      <c r="BC94" s="33">
        <v>24</v>
      </c>
      <c r="BD94" s="33">
        <v>6</v>
      </c>
      <c r="BE94" s="44">
        <v>30</v>
      </c>
      <c r="BF94" s="33">
        <v>24</v>
      </c>
      <c r="BG94" s="44">
        <v>6</v>
      </c>
      <c r="BH94" s="33">
        <v>30</v>
      </c>
      <c r="BI94" s="33">
        <v>25</v>
      </c>
      <c r="BJ94" s="33">
        <v>5</v>
      </c>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5"/>
      <c r="CO94" s="35"/>
      <c r="CP94" s="35"/>
      <c r="CQ94" s="35"/>
      <c r="CR94" s="35"/>
      <c r="CS94" s="35"/>
      <c r="CT94" s="35"/>
      <c r="CU94" s="35"/>
      <c r="CV94" s="35"/>
      <c r="CW94" s="35"/>
      <c r="CX94" s="35"/>
      <c r="CY94" s="35"/>
    </row>
    <row r="95" spans="1:103" s="36" customFormat="1" x14ac:dyDescent="0.2">
      <c r="A95" s="58">
        <v>87</v>
      </c>
      <c r="B95" s="14" t="s">
        <v>1429</v>
      </c>
      <c r="C95" s="30" t="s">
        <v>79</v>
      </c>
      <c r="D95" s="31" t="s">
        <v>930</v>
      </c>
      <c r="E95" s="31"/>
      <c r="F95" s="31">
        <v>2017</v>
      </c>
      <c r="G95" s="32" t="s">
        <v>950</v>
      </c>
      <c r="H95" s="32"/>
      <c r="I95" s="31" t="s">
        <v>8</v>
      </c>
      <c r="J95" s="31" t="s">
        <v>36</v>
      </c>
      <c r="K95" s="31" t="s">
        <v>1471</v>
      </c>
      <c r="L95" s="31" t="s">
        <v>32</v>
      </c>
      <c r="M95" s="15" t="s">
        <v>25</v>
      </c>
      <c r="N95" s="31" t="s">
        <v>201</v>
      </c>
      <c r="O95" s="31" t="s">
        <v>404</v>
      </c>
      <c r="P95" s="31"/>
      <c r="Q95" s="32" t="s">
        <v>313</v>
      </c>
      <c r="R95" s="32" t="s">
        <v>935</v>
      </c>
      <c r="S95" s="31" t="s">
        <v>40</v>
      </c>
      <c r="T95" s="31" t="s">
        <v>240</v>
      </c>
      <c r="U95" s="31">
        <v>7</v>
      </c>
      <c r="V95" s="57">
        <f t="shared" si="11"/>
        <v>7</v>
      </c>
      <c r="W95" s="57" t="str">
        <f t="shared" si="16"/>
        <v>L</v>
      </c>
      <c r="X95" s="31" t="s">
        <v>13</v>
      </c>
      <c r="Y95" s="31" t="s">
        <v>14</v>
      </c>
      <c r="Z95" s="31" t="s">
        <v>33</v>
      </c>
      <c r="AA95" s="31" t="s">
        <v>958</v>
      </c>
      <c r="AB95" s="31">
        <v>7</v>
      </c>
      <c r="AC95" s="15">
        <f t="shared" si="12"/>
        <v>7</v>
      </c>
      <c r="AD95" s="15" t="str">
        <f t="shared" si="10"/>
        <v>L</v>
      </c>
      <c r="AE95" s="31" t="s">
        <v>13</v>
      </c>
      <c r="AF95" s="31" t="s">
        <v>14</v>
      </c>
      <c r="AG95" s="33">
        <v>60</v>
      </c>
      <c r="AH95" s="33">
        <v>30</v>
      </c>
      <c r="AI95" s="33">
        <v>30</v>
      </c>
      <c r="AJ95" s="33">
        <v>29</v>
      </c>
      <c r="AK95" s="33">
        <v>1</v>
      </c>
      <c r="AL95" s="44">
        <v>30</v>
      </c>
      <c r="AM95" s="33">
        <v>29</v>
      </c>
      <c r="AN95" s="44">
        <v>1</v>
      </c>
      <c r="AO95" s="44"/>
      <c r="AP95" s="33"/>
      <c r="AQ95" s="33"/>
      <c r="AR95" s="33"/>
      <c r="AS95" s="33"/>
      <c r="AT95" s="33"/>
      <c r="AU95" s="33"/>
      <c r="AV95" s="33"/>
      <c r="AW95" s="33"/>
      <c r="AX95" s="33"/>
      <c r="AY95" s="33"/>
      <c r="AZ95" s="33"/>
      <c r="BA95" s="33">
        <v>30</v>
      </c>
      <c r="BB95" s="33">
        <v>30</v>
      </c>
      <c r="BC95" s="33">
        <v>21</v>
      </c>
      <c r="BD95" s="33">
        <v>9</v>
      </c>
      <c r="BE95" s="44">
        <v>30</v>
      </c>
      <c r="BF95" s="33">
        <v>21</v>
      </c>
      <c r="BG95" s="44">
        <v>9</v>
      </c>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5"/>
      <c r="CO95" s="35"/>
      <c r="CP95" s="35"/>
      <c r="CQ95" s="35"/>
      <c r="CR95" s="35"/>
      <c r="CS95" s="35"/>
      <c r="CT95" s="35"/>
      <c r="CU95" s="35"/>
      <c r="CV95" s="35"/>
      <c r="CW95" s="35"/>
      <c r="CX95" s="35"/>
      <c r="CY95" s="35"/>
    </row>
    <row r="96" spans="1:103" s="36" customFormat="1" x14ac:dyDescent="0.2">
      <c r="A96" s="58">
        <v>88</v>
      </c>
      <c r="B96" s="14" t="s">
        <v>1429</v>
      </c>
      <c r="C96" s="30" t="s">
        <v>79</v>
      </c>
      <c r="D96" s="31" t="s">
        <v>931</v>
      </c>
      <c r="E96" s="31"/>
      <c r="F96" s="31">
        <v>2017</v>
      </c>
      <c r="G96" s="32" t="s">
        <v>951</v>
      </c>
      <c r="H96" s="32"/>
      <c r="I96" s="31" t="s">
        <v>8</v>
      </c>
      <c r="J96" s="31" t="s">
        <v>36</v>
      </c>
      <c r="K96" s="31" t="s">
        <v>1471</v>
      </c>
      <c r="L96" s="15" t="s">
        <v>68</v>
      </c>
      <c r="M96" s="15" t="s">
        <v>25</v>
      </c>
      <c r="N96" s="31" t="s">
        <v>201</v>
      </c>
      <c r="O96" s="31" t="s">
        <v>404</v>
      </c>
      <c r="P96" s="31"/>
      <c r="Q96" s="32" t="s">
        <v>313</v>
      </c>
      <c r="R96" s="32" t="s">
        <v>935</v>
      </c>
      <c r="S96" s="31" t="s">
        <v>40</v>
      </c>
      <c r="T96" s="31" t="s">
        <v>959</v>
      </c>
      <c r="U96" s="31" t="s">
        <v>354</v>
      </c>
      <c r="V96" s="57">
        <v>10</v>
      </c>
      <c r="W96" s="57" t="str">
        <f t="shared" si="16"/>
        <v>L</v>
      </c>
      <c r="X96" s="31" t="s">
        <v>13</v>
      </c>
      <c r="Y96" s="31" t="s">
        <v>14</v>
      </c>
      <c r="Z96" s="31" t="s">
        <v>33</v>
      </c>
      <c r="AA96" s="31" t="s">
        <v>965</v>
      </c>
      <c r="AB96" s="31" t="s">
        <v>354</v>
      </c>
      <c r="AC96" s="15">
        <v>10</v>
      </c>
      <c r="AD96" s="15" t="str">
        <f t="shared" si="10"/>
        <v>L</v>
      </c>
      <c r="AE96" s="31" t="s">
        <v>13</v>
      </c>
      <c r="AF96" s="31" t="s">
        <v>14</v>
      </c>
      <c r="AG96" s="33">
        <f>39+39</f>
        <v>78</v>
      </c>
      <c r="AH96" s="33">
        <v>39</v>
      </c>
      <c r="AI96" s="33">
        <v>39</v>
      </c>
      <c r="AJ96" s="33">
        <v>37</v>
      </c>
      <c r="AK96" s="33">
        <v>2</v>
      </c>
      <c r="AL96" s="44">
        <v>39</v>
      </c>
      <c r="AM96" s="33">
        <v>37</v>
      </c>
      <c r="AN96" s="44">
        <v>2</v>
      </c>
      <c r="AO96" s="44"/>
      <c r="AP96" s="33"/>
      <c r="AQ96" s="33"/>
      <c r="AR96" s="33"/>
      <c r="AS96" s="33"/>
      <c r="AT96" s="33"/>
      <c r="AU96" s="33"/>
      <c r="AV96" s="33"/>
      <c r="AW96" s="33"/>
      <c r="AX96" s="33"/>
      <c r="AY96" s="33"/>
      <c r="AZ96" s="33"/>
      <c r="BA96" s="33">
        <v>39</v>
      </c>
      <c r="BB96" s="33">
        <v>39</v>
      </c>
      <c r="BC96" s="33">
        <v>31</v>
      </c>
      <c r="BD96" s="33">
        <v>8</v>
      </c>
      <c r="BE96" s="44">
        <v>39</v>
      </c>
      <c r="BF96" s="33">
        <v>31</v>
      </c>
      <c r="BG96" s="44">
        <v>8</v>
      </c>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5"/>
      <c r="CO96" s="35"/>
      <c r="CP96" s="35"/>
      <c r="CQ96" s="35"/>
      <c r="CR96" s="35"/>
      <c r="CS96" s="35"/>
      <c r="CT96" s="35"/>
      <c r="CU96" s="35"/>
      <c r="CV96" s="35"/>
      <c r="CW96" s="35"/>
      <c r="CX96" s="35"/>
      <c r="CY96" s="35"/>
    </row>
    <row r="97" spans="1:103" s="36" customFormat="1" x14ac:dyDescent="0.2">
      <c r="A97" s="58">
        <v>89</v>
      </c>
      <c r="B97" s="14" t="s">
        <v>1429</v>
      </c>
      <c r="C97" s="30" t="s">
        <v>79</v>
      </c>
      <c r="D97" s="31" t="s">
        <v>29</v>
      </c>
      <c r="E97" s="31"/>
      <c r="F97" s="31">
        <v>2018</v>
      </c>
      <c r="G97" s="32" t="s">
        <v>952</v>
      </c>
      <c r="H97" s="32"/>
      <c r="I97" s="31" t="s">
        <v>8</v>
      </c>
      <c r="J97" s="31" t="s">
        <v>36</v>
      </c>
      <c r="K97" s="31" t="s">
        <v>1471</v>
      </c>
      <c r="L97" s="15" t="s">
        <v>68</v>
      </c>
      <c r="M97" s="15" t="s">
        <v>25</v>
      </c>
      <c r="N97" s="31" t="s">
        <v>201</v>
      </c>
      <c r="O97" s="31" t="s">
        <v>404</v>
      </c>
      <c r="P97" s="31"/>
      <c r="Q97" s="32" t="s">
        <v>313</v>
      </c>
      <c r="R97" s="32" t="s">
        <v>935</v>
      </c>
      <c r="S97" s="31" t="s">
        <v>40</v>
      </c>
      <c r="T97" s="31" t="s">
        <v>959</v>
      </c>
      <c r="U97" s="31">
        <v>14</v>
      </c>
      <c r="V97" s="57">
        <f t="shared" si="11"/>
        <v>14</v>
      </c>
      <c r="W97" s="57" t="str">
        <f t="shared" si="16"/>
        <v>L</v>
      </c>
      <c r="X97" s="31" t="s">
        <v>13</v>
      </c>
      <c r="Y97" s="31" t="s">
        <v>14</v>
      </c>
      <c r="Z97" s="31" t="s">
        <v>33</v>
      </c>
      <c r="AA97" s="31" t="s">
        <v>966</v>
      </c>
      <c r="AB97" s="31" t="s">
        <v>354</v>
      </c>
      <c r="AC97" s="15">
        <v>10</v>
      </c>
      <c r="AD97" s="15" t="str">
        <f t="shared" si="10"/>
        <v>L</v>
      </c>
      <c r="AE97" s="31" t="s">
        <v>13</v>
      </c>
      <c r="AF97" s="31" t="s">
        <v>14</v>
      </c>
      <c r="AG97" s="33">
        <f>64+64</f>
        <v>128</v>
      </c>
      <c r="AH97" s="33">
        <v>64</v>
      </c>
      <c r="AI97" s="33">
        <v>64</v>
      </c>
      <c r="AJ97" s="33">
        <v>59</v>
      </c>
      <c r="AK97" s="33">
        <v>5</v>
      </c>
      <c r="AL97" s="44">
        <v>64</v>
      </c>
      <c r="AM97" s="33">
        <v>59</v>
      </c>
      <c r="AN97" s="44">
        <v>5</v>
      </c>
      <c r="AO97" s="44"/>
      <c r="AP97" s="33"/>
      <c r="AQ97" s="33"/>
      <c r="AR97" s="33"/>
      <c r="AS97" s="33"/>
      <c r="AT97" s="33"/>
      <c r="AU97" s="33"/>
      <c r="AV97" s="33"/>
      <c r="AW97" s="33"/>
      <c r="AX97" s="33"/>
      <c r="AY97" s="33"/>
      <c r="AZ97" s="33"/>
      <c r="BA97" s="33">
        <v>64</v>
      </c>
      <c r="BB97" s="33">
        <v>64</v>
      </c>
      <c r="BC97" s="33">
        <v>48</v>
      </c>
      <c r="BD97" s="33">
        <v>16</v>
      </c>
      <c r="BE97" s="44">
        <v>64</v>
      </c>
      <c r="BF97" s="33">
        <v>48</v>
      </c>
      <c r="BG97" s="44">
        <f>+BE97-BF97</f>
        <v>16</v>
      </c>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5"/>
      <c r="CO97" s="35"/>
      <c r="CP97" s="35"/>
      <c r="CQ97" s="35"/>
      <c r="CR97" s="35"/>
      <c r="CS97" s="35"/>
      <c r="CT97" s="35"/>
      <c r="CU97" s="35"/>
      <c r="CV97" s="35"/>
      <c r="CW97" s="35"/>
      <c r="CX97" s="35"/>
      <c r="CY97" s="35"/>
    </row>
    <row r="98" spans="1:103" s="36" customFormat="1" x14ac:dyDescent="0.2">
      <c r="A98" s="58">
        <v>90</v>
      </c>
      <c r="B98" s="14" t="s">
        <v>1429</v>
      </c>
      <c r="C98" s="30" t="s">
        <v>79</v>
      </c>
      <c r="D98" s="31" t="s">
        <v>812</v>
      </c>
      <c r="E98" s="31"/>
      <c r="F98" s="31">
        <v>2019</v>
      </c>
      <c r="G98" s="32" t="s">
        <v>953</v>
      </c>
      <c r="H98" s="32"/>
      <c r="I98" s="31" t="s">
        <v>8</v>
      </c>
      <c r="J98" s="31" t="s">
        <v>36</v>
      </c>
      <c r="K98" s="31" t="s">
        <v>1471</v>
      </c>
      <c r="L98" s="15" t="s">
        <v>68</v>
      </c>
      <c r="M98" s="15" t="s">
        <v>25</v>
      </c>
      <c r="N98" s="31" t="s">
        <v>201</v>
      </c>
      <c r="O98" s="31" t="s">
        <v>404</v>
      </c>
      <c r="P98" s="31"/>
      <c r="Q98" s="32" t="s">
        <v>313</v>
      </c>
      <c r="R98" s="32" t="s">
        <v>935</v>
      </c>
      <c r="S98" s="31" t="s">
        <v>40</v>
      </c>
      <c r="T98" s="31" t="s">
        <v>959</v>
      </c>
      <c r="U98" s="31">
        <v>14</v>
      </c>
      <c r="V98" s="57">
        <f t="shared" si="11"/>
        <v>14</v>
      </c>
      <c r="W98" s="57" t="str">
        <f t="shared" si="16"/>
        <v>L</v>
      </c>
      <c r="X98" s="31" t="s">
        <v>13</v>
      </c>
      <c r="Y98" s="31" t="s">
        <v>14</v>
      </c>
      <c r="Z98" s="31" t="s">
        <v>33</v>
      </c>
      <c r="AA98" s="31" t="s">
        <v>966</v>
      </c>
      <c r="AB98" s="31">
        <v>14</v>
      </c>
      <c r="AC98" s="15">
        <f t="shared" si="12"/>
        <v>14</v>
      </c>
      <c r="AD98" s="15" t="str">
        <f t="shared" si="10"/>
        <v>L</v>
      </c>
      <c r="AE98" s="31" t="s">
        <v>13</v>
      </c>
      <c r="AF98" s="31" t="s">
        <v>14</v>
      </c>
      <c r="AG98" s="33">
        <f>55+55</f>
        <v>110</v>
      </c>
      <c r="AH98" s="33">
        <v>55</v>
      </c>
      <c r="AI98" s="33">
        <v>55</v>
      </c>
      <c r="AJ98" s="33">
        <v>51</v>
      </c>
      <c r="AK98" s="33">
        <v>4</v>
      </c>
      <c r="AL98" s="44">
        <v>55</v>
      </c>
      <c r="AM98" s="33">
        <v>51</v>
      </c>
      <c r="AN98" s="44">
        <v>4</v>
      </c>
      <c r="AO98" s="44"/>
      <c r="AP98" s="33"/>
      <c r="AQ98" s="33"/>
      <c r="AR98" s="33"/>
      <c r="AS98" s="33"/>
      <c r="AT98" s="33"/>
      <c r="AU98" s="33"/>
      <c r="AV98" s="33"/>
      <c r="AW98" s="33"/>
      <c r="AX98" s="33"/>
      <c r="AY98" s="33"/>
      <c r="AZ98" s="33"/>
      <c r="BA98" s="33">
        <v>55</v>
      </c>
      <c r="BB98" s="33">
        <v>55</v>
      </c>
      <c r="BC98" s="33">
        <v>43</v>
      </c>
      <c r="BD98" s="33">
        <v>12</v>
      </c>
      <c r="BE98" s="44">
        <v>55</v>
      </c>
      <c r="BF98" s="33">
        <v>43</v>
      </c>
      <c r="BG98" s="44">
        <f>+BE98-BF98</f>
        <v>12</v>
      </c>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5"/>
      <c r="CO98" s="35"/>
      <c r="CP98" s="35"/>
      <c r="CQ98" s="35"/>
      <c r="CR98" s="35"/>
      <c r="CS98" s="35"/>
      <c r="CT98" s="35"/>
      <c r="CU98" s="35"/>
      <c r="CV98" s="35"/>
      <c r="CW98" s="35"/>
      <c r="CX98" s="35"/>
      <c r="CY98" s="35"/>
    </row>
    <row r="99" spans="1:103" s="36" customFormat="1" x14ac:dyDescent="0.2">
      <c r="A99" s="58">
        <v>91</v>
      </c>
      <c r="B99" s="14" t="s">
        <v>1429</v>
      </c>
      <c r="C99" s="30" t="s">
        <v>79</v>
      </c>
      <c r="D99" s="31" t="s">
        <v>932</v>
      </c>
      <c r="E99" s="31"/>
      <c r="F99" s="31">
        <v>2019</v>
      </c>
      <c r="G99" s="32" t="s">
        <v>954</v>
      </c>
      <c r="H99" s="32"/>
      <c r="I99" s="31" t="s">
        <v>8</v>
      </c>
      <c r="J99" s="31" t="s">
        <v>36</v>
      </c>
      <c r="K99" s="31" t="s">
        <v>1471</v>
      </c>
      <c r="L99" s="15" t="s">
        <v>68</v>
      </c>
      <c r="M99" s="15" t="s">
        <v>25</v>
      </c>
      <c r="N99" s="31" t="s">
        <v>201</v>
      </c>
      <c r="O99" s="31" t="s">
        <v>404</v>
      </c>
      <c r="P99" s="31" t="s">
        <v>167</v>
      </c>
      <c r="Q99" s="32" t="s">
        <v>313</v>
      </c>
      <c r="R99" s="32" t="s">
        <v>935</v>
      </c>
      <c r="S99" s="31" t="s">
        <v>40</v>
      </c>
      <c r="T99" s="31" t="s">
        <v>959</v>
      </c>
      <c r="U99" s="31" t="s">
        <v>317</v>
      </c>
      <c r="V99" s="57">
        <v>4</v>
      </c>
      <c r="W99" s="57" t="str">
        <f t="shared" si="16"/>
        <v>S</v>
      </c>
      <c r="X99" s="31" t="s">
        <v>13</v>
      </c>
      <c r="Y99" s="31" t="s">
        <v>14</v>
      </c>
      <c r="Z99" s="31" t="s">
        <v>33</v>
      </c>
      <c r="AA99" s="31" t="s">
        <v>966</v>
      </c>
      <c r="AB99" s="31" t="s">
        <v>317</v>
      </c>
      <c r="AC99" s="15">
        <v>4</v>
      </c>
      <c r="AD99" s="15" t="str">
        <f t="shared" si="10"/>
        <v>S</v>
      </c>
      <c r="AE99" s="31" t="s">
        <v>13</v>
      </c>
      <c r="AF99" s="31" t="s">
        <v>14</v>
      </c>
      <c r="AG99" s="33">
        <f>60+60</f>
        <v>120</v>
      </c>
      <c r="AH99" s="33">
        <v>60</v>
      </c>
      <c r="AI99" s="33">
        <v>60</v>
      </c>
      <c r="AJ99" s="33">
        <v>57</v>
      </c>
      <c r="AK99" s="33">
        <v>3</v>
      </c>
      <c r="AL99" s="44">
        <v>60</v>
      </c>
      <c r="AM99" s="33">
        <v>57</v>
      </c>
      <c r="AN99" s="44">
        <v>3</v>
      </c>
      <c r="AO99" s="44">
        <v>37</v>
      </c>
      <c r="AP99" s="33">
        <v>36</v>
      </c>
      <c r="AQ99" s="33">
        <v>1</v>
      </c>
      <c r="AR99" s="33"/>
      <c r="AS99" s="33"/>
      <c r="AT99" s="33">
        <v>11</v>
      </c>
      <c r="AU99" s="33"/>
      <c r="AV99" s="33"/>
      <c r="AW99" s="33"/>
      <c r="AX99" s="33"/>
      <c r="AY99" s="33"/>
      <c r="AZ99" s="33"/>
      <c r="BA99" s="33">
        <v>60</v>
      </c>
      <c r="BB99" s="33">
        <v>60</v>
      </c>
      <c r="BC99" s="33">
        <v>52</v>
      </c>
      <c r="BD99" s="33">
        <v>8</v>
      </c>
      <c r="BE99" s="44">
        <v>60</v>
      </c>
      <c r="BF99" s="33">
        <v>52</v>
      </c>
      <c r="BG99" s="44">
        <v>8</v>
      </c>
      <c r="BH99" s="33">
        <v>38</v>
      </c>
      <c r="BI99" s="33">
        <v>27</v>
      </c>
      <c r="BJ99" s="33">
        <f>+BH99-BI99</f>
        <v>11</v>
      </c>
      <c r="BK99" s="33"/>
      <c r="BL99" s="33"/>
      <c r="BM99" s="33">
        <v>15</v>
      </c>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5"/>
      <c r="CO99" s="35"/>
      <c r="CP99" s="35"/>
      <c r="CQ99" s="35"/>
      <c r="CR99" s="35"/>
      <c r="CS99" s="35"/>
      <c r="CT99" s="35"/>
      <c r="CU99" s="35"/>
      <c r="CV99" s="35"/>
      <c r="CW99" s="35"/>
      <c r="CX99" s="35"/>
      <c r="CY99" s="35"/>
    </row>
    <row r="100" spans="1:103" s="36" customFormat="1" x14ac:dyDescent="0.2">
      <c r="A100" s="58">
        <v>92</v>
      </c>
      <c r="B100" s="14" t="s">
        <v>1429</v>
      </c>
      <c r="C100" s="30" t="s">
        <v>79</v>
      </c>
      <c r="D100" s="31" t="s">
        <v>933</v>
      </c>
      <c r="E100" s="31"/>
      <c r="F100" s="31">
        <v>2019</v>
      </c>
      <c r="G100" s="32" t="s">
        <v>955</v>
      </c>
      <c r="H100" s="32"/>
      <c r="I100" s="31" t="s">
        <v>8</v>
      </c>
      <c r="J100" s="31" t="s">
        <v>36</v>
      </c>
      <c r="K100" s="31" t="s">
        <v>1471</v>
      </c>
      <c r="L100" s="15" t="s">
        <v>68</v>
      </c>
      <c r="M100" s="15" t="s">
        <v>25</v>
      </c>
      <c r="N100" s="31" t="s">
        <v>201</v>
      </c>
      <c r="O100" s="31" t="s">
        <v>404</v>
      </c>
      <c r="P100" s="31"/>
      <c r="Q100" s="32" t="s">
        <v>313</v>
      </c>
      <c r="R100" s="32" t="s">
        <v>935</v>
      </c>
      <c r="S100" s="31" t="s">
        <v>40</v>
      </c>
      <c r="T100" s="31" t="s">
        <v>959</v>
      </c>
      <c r="U100" s="31">
        <v>14</v>
      </c>
      <c r="V100" s="57">
        <f t="shared" si="11"/>
        <v>14</v>
      </c>
      <c r="W100" s="57" t="str">
        <f t="shared" si="16"/>
        <v>L</v>
      </c>
      <c r="X100" s="31" t="s">
        <v>13</v>
      </c>
      <c r="Y100" s="31" t="s">
        <v>14</v>
      </c>
      <c r="Z100" s="31" t="s">
        <v>33</v>
      </c>
      <c r="AA100" s="31" t="s">
        <v>966</v>
      </c>
      <c r="AB100" s="31">
        <v>14</v>
      </c>
      <c r="AC100" s="15">
        <f t="shared" si="12"/>
        <v>14</v>
      </c>
      <c r="AD100" s="15" t="str">
        <f t="shared" si="10"/>
        <v>L</v>
      </c>
      <c r="AE100" s="31" t="s">
        <v>13</v>
      </c>
      <c r="AF100" s="31" t="s">
        <v>14</v>
      </c>
      <c r="AG100" s="33">
        <f>50+50</f>
        <v>100</v>
      </c>
      <c r="AH100" s="33">
        <v>50</v>
      </c>
      <c r="AI100" s="33">
        <v>50</v>
      </c>
      <c r="AJ100" s="33">
        <v>46</v>
      </c>
      <c r="AK100" s="33">
        <v>4</v>
      </c>
      <c r="AL100" s="44">
        <v>50</v>
      </c>
      <c r="AM100" s="33">
        <v>46</v>
      </c>
      <c r="AN100" s="44">
        <v>4</v>
      </c>
      <c r="AO100" s="44"/>
      <c r="AP100" s="33"/>
      <c r="AQ100" s="33"/>
      <c r="AR100" s="33"/>
      <c r="AS100" s="33"/>
      <c r="AT100" s="33"/>
      <c r="AU100" s="33"/>
      <c r="AV100" s="33"/>
      <c r="AW100" s="33"/>
      <c r="AX100" s="33"/>
      <c r="AY100" s="33"/>
      <c r="AZ100" s="33"/>
      <c r="BA100" s="33">
        <v>50</v>
      </c>
      <c r="BB100" s="33">
        <v>50</v>
      </c>
      <c r="BC100" s="33">
        <v>37</v>
      </c>
      <c r="BD100" s="33">
        <v>13</v>
      </c>
      <c r="BE100" s="44">
        <v>50</v>
      </c>
      <c r="BF100" s="33">
        <v>37</v>
      </c>
      <c r="BG100" s="44">
        <f>+BE100-BF100</f>
        <v>13</v>
      </c>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5"/>
      <c r="CO100" s="35"/>
      <c r="CP100" s="35"/>
      <c r="CQ100" s="35"/>
      <c r="CR100" s="35"/>
      <c r="CS100" s="35"/>
      <c r="CT100" s="35"/>
      <c r="CU100" s="35"/>
      <c r="CV100" s="35"/>
      <c r="CW100" s="35"/>
      <c r="CX100" s="35"/>
      <c r="CY100" s="35"/>
    </row>
    <row r="101" spans="1:103" s="36" customFormat="1" x14ac:dyDescent="0.2">
      <c r="A101" s="58">
        <v>93</v>
      </c>
      <c r="B101" s="14" t="s">
        <v>1429</v>
      </c>
      <c r="C101" s="30" t="s">
        <v>79</v>
      </c>
      <c r="D101" s="31" t="s">
        <v>934</v>
      </c>
      <c r="E101" s="31"/>
      <c r="F101" s="31">
        <v>2020</v>
      </c>
      <c r="G101" s="32" t="s">
        <v>956</v>
      </c>
      <c r="H101" s="32"/>
      <c r="I101" s="31" t="s">
        <v>8</v>
      </c>
      <c r="J101" s="31" t="s">
        <v>36</v>
      </c>
      <c r="K101" s="31" t="s">
        <v>1471</v>
      </c>
      <c r="L101" s="15" t="s">
        <v>68</v>
      </c>
      <c r="M101" s="15" t="s">
        <v>25</v>
      </c>
      <c r="N101" s="31" t="s">
        <v>201</v>
      </c>
      <c r="O101" s="31" t="s">
        <v>404</v>
      </c>
      <c r="P101" s="31"/>
      <c r="Q101" s="32" t="s">
        <v>313</v>
      </c>
      <c r="R101" s="32" t="s">
        <v>935</v>
      </c>
      <c r="S101" s="31" t="s">
        <v>40</v>
      </c>
      <c r="T101" s="31" t="s">
        <v>959</v>
      </c>
      <c r="U101" s="31" t="s">
        <v>354</v>
      </c>
      <c r="V101" s="57">
        <v>10</v>
      </c>
      <c r="W101" s="57" t="str">
        <f t="shared" si="16"/>
        <v>L</v>
      </c>
      <c r="X101" s="31" t="s">
        <v>13</v>
      </c>
      <c r="Y101" s="31" t="s">
        <v>14</v>
      </c>
      <c r="Z101" s="31" t="s">
        <v>33</v>
      </c>
      <c r="AA101" s="31" t="s">
        <v>966</v>
      </c>
      <c r="AB101" s="31">
        <v>15</v>
      </c>
      <c r="AC101" s="15">
        <f t="shared" si="12"/>
        <v>15</v>
      </c>
      <c r="AD101" s="15" t="str">
        <f t="shared" si="10"/>
        <v>L</v>
      </c>
      <c r="AE101" s="31" t="s">
        <v>13</v>
      </c>
      <c r="AF101" s="31" t="s">
        <v>14</v>
      </c>
      <c r="AG101" s="33">
        <f>60+60</f>
        <v>120</v>
      </c>
      <c r="AH101" s="33">
        <v>60</v>
      </c>
      <c r="AI101" s="33">
        <v>60</v>
      </c>
      <c r="AJ101" s="33">
        <v>58</v>
      </c>
      <c r="AK101" s="33">
        <v>2</v>
      </c>
      <c r="AL101" s="44">
        <v>60</v>
      </c>
      <c r="AM101" s="33">
        <v>58</v>
      </c>
      <c r="AN101" s="44">
        <v>2</v>
      </c>
      <c r="AO101" s="44"/>
      <c r="AP101" s="33"/>
      <c r="AQ101" s="33"/>
      <c r="AR101" s="33"/>
      <c r="AS101" s="33"/>
      <c r="AT101" s="33"/>
      <c r="AU101" s="33"/>
      <c r="AV101" s="33"/>
      <c r="AW101" s="33"/>
      <c r="AX101" s="33"/>
      <c r="AY101" s="33"/>
      <c r="AZ101" s="33"/>
      <c r="BA101" s="33">
        <v>60</v>
      </c>
      <c r="BB101" s="33">
        <v>60</v>
      </c>
      <c r="BC101" s="33">
        <v>49</v>
      </c>
      <c r="BD101" s="33">
        <v>11</v>
      </c>
      <c r="BE101" s="44">
        <v>60</v>
      </c>
      <c r="BF101" s="33">
        <v>49</v>
      </c>
      <c r="BG101" s="44">
        <v>11</v>
      </c>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5"/>
      <c r="CO101" s="35"/>
      <c r="CP101" s="35"/>
      <c r="CQ101" s="35"/>
      <c r="CR101" s="35"/>
      <c r="CS101" s="35"/>
      <c r="CT101" s="35"/>
      <c r="CU101" s="35"/>
      <c r="CV101" s="35"/>
      <c r="CW101" s="35"/>
      <c r="CX101" s="35"/>
      <c r="CY101" s="35"/>
    </row>
    <row r="102" spans="1:103" s="36" customFormat="1" x14ac:dyDescent="0.2">
      <c r="A102" s="58">
        <v>94</v>
      </c>
      <c r="B102" s="14" t="s">
        <v>1429</v>
      </c>
      <c r="C102" s="30" t="s">
        <v>79</v>
      </c>
      <c r="D102" s="31" t="s">
        <v>161</v>
      </c>
      <c r="E102" s="31"/>
      <c r="F102" s="31">
        <v>2020</v>
      </c>
      <c r="G102" s="32" t="s">
        <v>942</v>
      </c>
      <c r="H102" s="32"/>
      <c r="I102" s="31" t="s">
        <v>8</v>
      </c>
      <c r="J102" s="31" t="s">
        <v>36</v>
      </c>
      <c r="K102" s="31" t="s">
        <v>1471</v>
      </c>
      <c r="L102" s="31" t="s">
        <v>32</v>
      </c>
      <c r="M102" s="15" t="s">
        <v>25</v>
      </c>
      <c r="N102" s="31" t="s">
        <v>201</v>
      </c>
      <c r="O102" s="31" t="s">
        <v>404</v>
      </c>
      <c r="P102" s="31"/>
      <c r="Q102" s="32" t="s">
        <v>313</v>
      </c>
      <c r="R102" s="32" t="s">
        <v>935</v>
      </c>
      <c r="S102" s="31" t="s">
        <v>40</v>
      </c>
      <c r="T102" s="31" t="s">
        <v>240</v>
      </c>
      <c r="U102" s="31">
        <v>7</v>
      </c>
      <c r="V102" s="57">
        <f t="shared" si="11"/>
        <v>7</v>
      </c>
      <c r="W102" s="57" t="str">
        <f t="shared" si="16"/>
        <v>L</v>
      </c>
      <c r="X102" s="31" t="s">
        <v>13</v>
      </c>
      <c r="Y102" s="31" t="s">
        <v>14</v>
      </c>
      <c r="Z102" s="31" t="s">
        <v>33</v>
      </c>
      <c r="AA102" s="31" t="s">
        <v>405</v>
      </c>
      <c r="AB102" s="31">
        <v>7</v>
      </c>
      <c r="AC102" s="15">
        <f t="shared" si="12"/>
        <v>7</v>
      </c>
      <c r="AD102" s="15" t="str">
        <f t="shared" si="10"/>
        <v>L</v>
      </c>
      <c r="AE102" s="31" t="s">
        <v>13</v>
      </c>
      <c r="AF102" s="31" t="s">
        <v>14</v>
      </c>
      <c r="AG102" s="33">
        <v>120</v>
      </c>
      <c r="AH102" s="33">
        <v>60</v>
      </c>
      <c r="AI102" s="33">
        <v>60</v>
      </c>
      <c r="AJ102" s="33">
        <v>56</v>
      </c>
      <c r="AK102" s="33">
        <v>4</v>
      </c>
      <c r="AL102" s="44">
        <v>60</v>
      </c>
      <c r="AM102" s="33">
        <v>56</v>
      </c>
      <c r="AN102" s="44">
        <v>4</v>
      </c>
      <c r="AO102" s="44"/>
      <c r="AP102" s="33"/>
      <c r="AQ102" s="33"/>
      <c r="AR102" s="33"/>
      <c r="AS102" s="33">
        <v>4</v>
      </c>
      <c r="AT102" s="33"/>
      <c r="AU102" s="33"/>
      <c r="AV102" s="33"/>
      <c r="AW102" s="33"/>
      <c r="AX102" s="33"/>
      <c r="AY102" s="33"/>
      <c r="AZ102" s="33"/>
      <c r="BA102" s="33">
        <v>60</v>
      </c>
      <c r="BB102" s="33">
        <v>60</v>
      </c>
      <c r="BC102" s="33">
        <v>45</v>
      </c>
      <c r="BD102" s="33">
        <v>15</v>
      </c>
      <c r="BE102" s="44">
        <v>60</v>
      </c>
      <c r="BF102" s="33">
        <v>45</v>
      </c>
      <c r="BG102" s="44">
        <v>15</v>
      </c>
      <c r="BH102" s="33"/>
      <c r="BI102" s="33"/>
      <c r="BJ102" s="33"/>
      <c r="BK102" s="33"/>
      <c r="BL102" s="33"/>
      <c r="BM102" s="33">
        <v>6</v>
      </c>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5"/>
      <c r="CO102" s="35"/>
      <c r="CP102" s="35"/>
      <c r="CQ102" s="35"/>
      <c r="CR102" s="35"/>
      <c r="CS102" s="35"/>
      <c r="CT102" s="35"/>
      <c r="CU102" s="35"/>
      <c r="CV102" s="35"/>
      <c r="CW102" s="35"/>
      <c r="CX102" s="35"/>
      <c r="CY102" s="35"/>
    </row>
    <row r="103" spans="1:103" s="19" customFormat="1" x14ac:dyDescent="0.2">
      <c r="A103" s="58">
        <v>95</v>
      </c>
      <c r="B103" s="14" t="s">
        <v>1429</v>
      </c>
      <c r="C103" s="14" t="s">
        <v>79</v>
      </c>
      <c r="D103" s="15" t="s">
        <v>968</v>
      </c>
      <c r="E103" s="15"/>
      <c r="F103" s="15">
        <v>1991</v>
      </c>
      <c r="G103" s="16" t="s">
        <v>971</v>
      </c>
      <c r="H103" s="24" t="s">
        <v>972</v>
      </c>
      <c r="I103" s="15" t="s">
        <v>8</v>
      </c>
      <c r="J103" s="15" t="s">
        <v>35</v>
      </c>
      <c r="K103" s="15" t="s">
        <v>1472</v>
      </c>
      <c r="L103" s="15" t="s">
        <v>31</v>
      </c>
      <c r="M103" s="15" t="s">
        <v>11</v>
      </c>
      <c r="N103" s="31" t="s">
        <v>201</v>
      </c>
      <c r="O103" s="15" t="s">
        <v>458</v>
      </c>
      <c r="P103" s="15" t="s">
        <v>285</v>
      </c>
      <c r="Q103" s="16" t="s">
        <v>313</v>
      </c>
      <c r="R103" s="16" t="s">
        <v>973</v>
      </c>
      <c r="S103" s="15" t="s">
        <v>198</v>
      </c>
      <c r="T103" s="15" t="s">
        <v>969</v>
      </c>
      <c r="U103" s="15">
        <v>14</v>
      </c>
      <c r="V103" s="57">
        <f t="shared" si="11"/>
        <v>14</v>
      </c>
      <c r="W103" s="57" t="str">
        <f t="shared" si="16"/>
        <v>L</v>
      </c>
      <c r="X103" s="15" t="s">
        <v>16</v>
      </c>
      <c r="Y103" s="15" t="s">
        <v>14</v>
      </c>
      <c r="Z103" s="31" t="s">
        <v>54</v>
      </c>
      <c r="AA103" s="15" t="s">
        <v>970</v>
      </c>
      <c r="AB103" s="15">
        <v>14</v>
      </c>
      <c r="AC103" s="15">
        <f t="shared" si="12"/>
        <v>14</v>
      </c>
      <c r="AD103" s="15" t="str">
        <f t="shared" si="10"/>
        <v>L</v>
      </c>
      <c r="AE103" s="15" t="s">
        <v>16</v>
      </c>
      <c r="AF103" s="15" t="s">
        <v>14</v>
      </c>
      <c r="AG103" s="17">
        <v>121</v>
      </c>
      <c r="AH103" s="17">
        <v>61</v>
      </c>
      <c r="AI103" s="17"/>
      <c r="AJ103" s="17"/>
      <c r="AK103" s="17"/>
      <c r="AL103" s="47">
        <v>30</v>
      </c>
      <c r="AM103" s="17">
        <v>30</v>
      </c>
      <c r="AN103" s="47">
        <v>0</v>
      </c>
      <c r="AO103" s="47">
        <v>23</v>
      </c>
      <c r="AP103" s="17">
        <v>17</v>
      </c>
      <c r="AQ103" s="17">
        <v>6</v>
      </c>
      <c r="AR103" s="17"/>
      <c r="AS103" s="17">
        <v>24</v>
      </c>
      <c r="AT103" s="17"/>
      <c r="AU103" s="17">
        <v>2</v>
      </c>
      <c r="AV103" s="17"/>
      <c r="AW103" s="17"/>
      <c r="AX103" s="17"/>
      <c r="AY103" s="17"/>
      <c r="AZ103" s="17"/>
      <c r="BA103" s="17">
        <v>60</v>
      </c>
      <c r="BB103" s="17"/>
      <c r="BC103" s="17"/>
      <c r="BD103" s="17"/>
      <c r="BE103" s="47">
        <v>30</v>
      </c>
      <c r="BF103" s="17">
        <v>26</v>
      </c>
      <c r="BG103" s="47">
        <v>4</v>
      </c>
      <c r="BH103" s="17">
        <v>22</v>
      </c>
      <c r="BI103" s="17">
        <v>19</v>
      </c>
      <c r="BJ103" s="17">
        <v>3</v>
      </c>
      <c r="BK103" s="17"/>
      <c r="BL103" s="17">
        <v>30</v>
      </c>
      <c r="BM103" s="17"/>
      <c r="BN103" s="17">
        <v>3</v>
      </c>
      <c r="BO103" s="17"/>
      <c r="BP103" s="17"/>
      <c r="BQ103" s="17"/>
      <c r="BR103" s="17"/>
      <c r="BS103" s="17"/>
      <c r="BT103" s="17">
        <f>120-49</f>
        <v>71</v>
      </c>
      <c r="BU103" s="17">
        <v>24</v>
      </c>
      <c r="BV103" s="17">
        <v>21</v>
      </c>
      <c r="BW103" s="17"/>
      <c r="BX103" s="17"/>
      <c r="BY103" s="17"/>
      <c r="BZ103" s="17">
        <v>23</v>
      </c>
      <c r="CA103" s="17">
        <v>0</v>
      </c>
      <c r="CB103" s="17">
        <v>0</v>
      </c>
      <c r="CC103" s="17"/>
      <c r="CD103" s="17"/>
      <c r="CE103" s="17"/>
      <c r="CF103" s="17"/>
      <c r="CG103" s="17"/>
      <c r="CH103" s="17"/>
      <c r="CI103" s="17"/>
      <c r="CJ103" s="17"/>
      <c r="CK103" s="17"/>
      <c r="CL103" s="17"/>
      <c r="CM103" s="17"/>
      <c r="CN103" s="18"/>
      <c r="CO103" s="18"/>
      <c r="CP103" s="18"/>
      <c r="CQ103" s="18"/>
      <c r="CR103" s="18"/>
      <c r="CS103" s="18"/>
      <c r="CT103" s="18"/>
      <c r="CU103" s="18"/>
      <c r="CV103" s="18"/>
      <c r="CW103" s="18"/>
      <c r="CX103" s="18"/>
      <c r="CY103" s="18"/>
    </row>
    <row r="104" spans="1:103" s="36" customFormat="1" x14ac:dyDescent="0.2">
      <c r="A104" s="58">
        <v>96</v>
      </c>
      <c r="B104" s="14" t="s">
        <v>1429</v>
      </c>
      <c r="C104" s="30" t="s">
        <v>79</v>
      </c>
      <c r="D104" s="31" t="s">
        <v>975</v>
      </c>
      <c r="E104" s="29"/>
      <c r="F104" s="31">
        <v>2021</v>
      </c>
      <c r="G104" s="32" t="s">
        <v>976</v>
      </c>
      <c r="H104" s="41" t="s">
        <v>977</v>
      </c>
      <c r="I104" s="31" t="s">
        <v>8</v>
      </c>
      <c r="J104" s="33" t="s">
        <v>66</v>
      </c>
      <c r="K104" s="33" t="s">
        <v>366</v>
      </c>
      <c r="L104" s="31" t="s">
        <v>31</v>
      </c>
      <c r="M104" s="15" t="s">
        <v>25</v>
      </c>
      <c r="N104" s="31" t="s">
        <v>201</v>
      </c>
      <c r="O104" s="31" t="s">
        <v>404</v>
      </c>
      <c r="P104" s="31" t="s">
        <v>285</v>
      </c>
      <c r="Q104" s="32" t="s">
        <v>313</v>
      </c>
      <c r="R104" s="32" t="s">
        <v>980</v>
      </c>
      <c r="S104" s="31" t="s">
        <v>531</v>
      </c>
      <c r="T104" s="31" t="s">
        <v>979</v>
      </c>
      <c r="U104" s="31">
        <v>5</v>
      </c>
      <c r="V104" s="57">
        <f t="shared" si="11"/>
        <v>5</v>
      </c>
      <c r="W104" s="57" t="str">
        <f t="shared" si="16"/>
        <v>S</v>
      </c>
      <c r="X104" s="31" t="s">
        <v>131</v>
      </c>
      <c r="Y104" s="31" t="s">
        <v>388</v>
      </c>
      <c r="Z104" s="31" t="s">
        <v>282</v>
      </c>
      <c r="AA104" s="31"/>
      <c r="AB104" s="31">
        <v>5</v>
      </c>
      <c r="AC104" s="15">
        <f t="shared" si="12"/>
        <v>5</v>
      </c>
      <c r="AD104" s="15" t="str">
        <f t="shared" si="10"/>
        <v>S</v>
      </c>
      <c r="AE104" s="31" t="s">
        <v>688</v>
      </c>
      <c r="AF104" s="31" t="s">
        <v>688</v>
      </c>
      <c r="AG104" s="33">
        <v>310</v>
      </c>
      <c r="AH104" s="33">
        <v>153</v>
      </c>
      <c r="AI104" s="33">
        <v>151</v>
      </c>
      <c r="AJ104" s="33">
        <v>102</v>
      </c>
      <c r="AK104" s="33">
        <f>+AI104-AJ104</f>
        <v>49</v>
      </c>
      <c r="AL104" s="44">
        <v>146</v>
      </c>
      <c r="AM104" s="33">
        <v>100</v>
      </c>
      <c r="AN104" s="44">
        <v>46</v>
      </c>
      <c r="AO104" s="44"/>
      <c r="AP104" s="33"/>
      <c r="AQ104" s="33"/>
      <c r="AR104" s="33"/>
      <c r="AS104" s="33"/>
      <c r="AT104" s="33">
        <v>29</v>
      </c>
      <c r="AU104" s="33">
        <v>1</v>
      </c>
      <c r="AV104" s="33"/>
      <c r="AW104" s="33">
        <v>2</v>
      </c>
      <c r="AX104" s="33">
        <v>6</v>
      </c>
      <c r="AY104" s="33"/>
      <c r="AZ104" s="33"/>
      <c r="BA104" s="33">
        <v>157</v>
      </c>
      <c r="BB104" s="33">
        <v>152</v>
      </c>
      <c r="BC104" s="33">
        <v>117</v>
      </c>
      <c r="BD104" s="33">
        <v>35</v>
      </c>
      <c r="BE104" s="44">
        <v>145</v>
      </c>
      <c r="BF104" s="33">
        <v>113</v>
      </c>
      <c r="BG104" s="44">
        <f>+BE104-BF104</f>
        <v>32</v>
      </c>
      <c r="BH104" s="33"/>
      <c r="BI104" s="33"/>
      <c r="BJ104" s="33"/>
      <c r="BK104" s="33"/>
      <c r="BL104" s="33"/>
      <c r="BM104" s="33">
        <v>22</v>
      </c>
      <c r="BN104" s="33">
        <v>1</v>
      </c>
      <c r="BO104" s="33"/>
      <c r="BP104" s="33">
        <v>3</v>
      </c>
      <c r="BQ104" s="33">
        <v>5</v>
      </c>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5"/>
      <c r="CO104" s="35"/>
      <c r="CP104" s="35"/>
      <c r="CQ104" s="35"/>
      <c r="CR104" s="35"/>
      <c r="CS104" s="35"/>
      <c r="CT104" s="35"/>
      <c r="CU104" s="35"/>
      <c r="CV104" s="35"/>
      <c r="CW104" s="35"/>
      <c r="CX104" s="35"/>
      <c r="CY104" s="35"/>
    </row>
    <row r="105" spans="1:103" s="19" customFormat="1" ht="17" customHeight="1" x14ac:dyDescent="0.2">
      <c r="A105" s="58">
        <v>97</v>
      </c>
      <c r="B105" s="14" t="s">
        <v>1429</v>
      </c>
      <c r="C105" s="14" t="s">
        <v>79</v>
      </c>
      <c r="D105" s="15" t="s">
        <v>102</v>
      </c>
      <c r="E105" s="15"/>
      <c r="F105" s="15">
        <v>2020</v>
      </c>
      <c r="G105" s="21" t="s">
        <v>1004</v>
      </c>
      <c r="H105" s="24" t="s">
        <v>1003</v>
      </c>
      <c r="I105" s="15" t="s">
        <v>8</v>
      </c>
      <c r="J105" s="17" t="s">
        <v>994</v>
      </c>
      <c r="K105" s="17" t="s">
        <v>1474</v>
      </c>
      <c r="L105" s="15" t="s">
        <v>31</v>
      </c>
      <c r="M105" s="15" t="s">
        <v>11</v>
      </c>
      <c r="N105" s="15" t="s">
        <v>75</v>
      </c>
      <c r="O105" s="15" t="s">
        <v>890</v>
      </c>
      <c r="P105" s="15" t="s">
        <v>285</v>
      </c>
      <c r="Q105" s="16" t="s">
        <v>313</v>
      </c>
      <c r="R105" s="16" t="s">
        <v>312</v>
      </c>
      <c r="S105" s="15" t="s">
        <v>23</v>
      </c>
      <c r="T105" s="15" t="s">
        <v>1005</v>
      </c>
      <c r="U105" s="15">
        <v>3</v>
      </c>
      <c r="V105" s="57">
        <f t="shared" si="11"/>
        <v>3</v>
      </c>
      <c r="W105" s="57" t="str">
        <f t="shared" si="16"/>
        <v>S</v>
      </c>
      <c r="X105" s="15" t="s">
        <v>131</v>
      </c>
      <c r="Y105" s="15" t="s">
        <v>388</v>
      </c>
      <c r="Z105" s="31" t="s">
        <v>23</v>
      </c>
      <c r="AA105" s="15" t="s">
        <v>1005</v>
      </c>
      <c r="AB105" s="15">
        <v>5</v>
      </c>
      <c r="AC105" s="15">
        <f t="shared" si="12"/>
        <v>5</v>
      </c>
      <c r="AD105" s="15" t="str">
        <f t="shared" si="10"/>
        <v>S</v>
      </c>
      <c r="AE105" s="15" t="s">
        <v>131</v>
      </c>
      <c r="AF105" s="15" t="s">
        <v>388</v>
      </c>
      <c r="AG105" s="17">
        <f>1497+1503</f>
        <v>3000</v>
      </c>
      <c r="AH105" s="17">
        <v>1497</v>
      </c>
      <c r="AI105" s="17"/>
      <c r="AJ105" s="17"/>
      <c r="AK105" s="17"/>
      <c r="AL105" s="47">
        <v>1442</v>
      </c>
      <c r="AM105" s="17">
        <f>+AL105-AN105</f>
        <v>1357</v>
      </c>
      <c r="AN105" s="47">
        <v>85</v>
      </c>
      <c r="AO105" s="47"/>
      <c r="AP105" s="17"/>
      <c r="AQ105" s="17"/>
      <c r="AR105" s="17">
        <v>91</v>
      </c>
      <c r="AS105" s="17">
        <v>394</v>
      </c>
      <c r="AT105" s="17"/>
      <c r="AU105" s="17">
        <v>147</v>
      </c>
      <c r="AV105" s="17"/>
      <c r="AW105" s="17">
        <v>1</v>
      </c>
      <c r="AX105" s="17"/>
      <c r="AY105" s="17"/>
      <c r="AZ105" s="17"/>
      <c r="BA105" s="17">
        <v>1503</v>
      </c>
      <c r="BB105" s="17"/>
      <c r="BC105" s="17"/>
      <c r="BD105" s="17"/>
      <c r="BE105" s="47">
        <v>1456</v>
      </c>
      <c r="BF105" s="17">
        <f>+BE105-BG105</f>
        <v>1381</v>
      </c>
      <c r="BG105" s="47">
        <v>75</v>
      </c>
      <c r="BH105" s="17"/>
      <c r="BI105" s="17"/>
      <c r="BJ105" s="17"/>
      <c r="BK105" s="17">
        <v>79</v>
      </c>
      <c r="BL105" s="17">
        <v>455</v>
      </c>
      <c r="BM105" s="17"/>
      <c r="BN105" s="17">
        <v>132</v>
      </c>
      <c r="BO105" s="17"/>
      <c r="BP105" s="17">
        <v>2</v>
      </c>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8"/>
      <c r="CO105" s="18"/>
      <c r="CP105" s="18"/>
      <c r="CQ105" s="18"/>
      <c r="CR105" s="18"/>
      <c r="CS105" s="18"/>
      <c r="CT105" s="18"/>
      <c r="CU105" s="18"/>
      <c r="CV105" s="18"/>
      <c r="CW105" s="18"/>
      <c r="CX105" s="18"/>
      <c r="CY105" s="18"/>
    </row>
    <row r="106" spans="1:103" s="19" customFormat="1" x14ac:dyDescent="0.2">
      <c r="A106" s="58">
        <v>98</v>
      </c>
      <c r="B106" s="14" t="s">
        <v>1429</v>
      </c>
      <c r="C106" s="14" t="s">
        <v>79</v>
      </c>
      <c r="D106" s="15" t="s">
        <v>96</v>
      </c>
      <c r="E106" s="15"/>
      <c r="F106" s="15">
        <v>2014</v>
      </c>
      <c r="G106" s="16" t="s">
        <v>97</v>
      </c>
      <c r="H106" s="24" t="s">
        <v>98</v>
      </c>
      <c r="I106" s="15" t="s">
        <v>8</v>
      </c>
      <c r="J106" s="17" t="s">
        <v>112</v>
      </c>
      <c r="K106" s="17" t="s">
        <v>1471</v>
      </c>
      <c r="L106" s="15" t="s">
        <v>31</v>
      </c>
      <c r="M106" s="15" t="s">
        <v>11</v>
      </c>
      <c r="N106" s="15" t="s">
        <v>75</v>
      </c>
      <c r="O106" s="15" t="s">
        <v>995</v>
      </c>
      <c r="P106" s="15" t="s">
        <v>285</v>
      </c>
      <c r="Q106" s="16" t="s">
        <v>313</v>
      </c>
      <c r="R106" s="16" t="s">
        <v>1006</v>
      </c>
      <c r="S106" s="15" t="s">
        <v>23</v>
      </c>
      <c r="T106" s="15" t="s">
        <v>99</v>
      </c>
      <c r="U106" s="15">
        <v>5</v>
      </c>
      <c r="V106" s="57">
        <f t="shared" si="11"/>
        <v>5</v>
      </c>
      <c r="W106" s="57" t="str">
        <f t="shared" si="16"/>
        <v>S</v>
      </c>
      <c r="X106" s="15" t="s">
        <v>131</v>
      </c>
      <c r="Y106" s="15" t="s">
        <v>388</v>
      </c>
      <c r="Z106" s="31" t="s">
        <v>23</v>
      </c>
      <c r="AA106" s="15" t="s">
        <v>99</v>
      </c>
      <c r="AB106" s="15">
        <v>10</v>
      </c>
      <c r="AC106" s="15">
        <f t="shared" si="12"/>
        <v>10</v>
      </c>
      <c r="AD106" s="15" t="str">
        <f t="shared" si="10"/>
        <v>L</v>
      </c>
      <c r="AE106" s="15" t="s">
        <v>131</v>
      </c>
      <c r="AF106" s="15" t="s">
        <v>388</v>
      </c>
      <c r="AG106" s="17">
        <v>115</v>
      </c>
      <c r="AH106" s="17">
        <v>56</v>
      </c>
      <c r="AI106" s="17"/>
      <c r="AJ106" s="17"/>
      <c r="AK106" s="17"/>
      <c r="AL106" s="47">
        <v>42</v>
      </c>
      <c r="AM106" s="17">
        <v>42</v>
      </c>
      <c r="AN106" s="47">
        <v>0</v>
      </c>
      <c r="AO106" s="47"/>
      <c r="AP106" s="17"/>
      <c r="AQ106" s="17"/>
      <c r="AR106" s="17"/>
      <c r="AS106" s="17"/>
      <c r="AT106" s="17"/>
      <c r="AU106" s="17"/>
      <c r="AV106" s="17"/>
      <c r="AW106" s="17"/>
      <c r="AX106" s="17"/>
      <c r="AY106" s="17"/>
      <c r="AZ106" s="17"/>
      <c r="BA106" s="17">
        <v>59</v>
      </c>
      <c r="BB106" s="17"/>
      <c r="BC106" s="17"/>
      <c r="BD106" s="17"/>
      <c r="BE106" s="47">
        <v>49</v>
      </c>
      <c r="BF106" s="17">
        <v>49</v>
      </c>
      <c r="BG106" s="47">
        <v>0</v>
      </c>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8"/>
      <c r="CO106" s="18"/>
      <c r="CP106" s="18"/>
      <c r="CQ106" s="18"/>
      <c r="CR106" s="18"/>
      <c r="CS106" s="18"/>
      <c r="CT106" s="18"/>
      <c r="CU106" s="18"/>
      <c r="CV106" s="18"/>
      <c r="CW106" s="18"/>
      <c r="CX106" s="18"/>
      <c r="CY106" s="18"/>
    </row>
    <row r="107" spans="1:103" s="19" customFormat="1" x14ac:dyDescent="0.2">
      <c r="A107" s="58">
        <v>99</v>
      </c>
      <c r="B107" s="14" t="s">
        <v>1429</v>
      </c>
      <c r="C107" s="14" t="s">
        <v>79</v>
      </c>
      <c r="D107" s="15" t="s">
        <v>100</v>
      </c>
      <c r="E107" s="15"/>
      <c r="F107" s="15">
        <v>1998</v>
      </c>
      <c r="G107" s="16" t="s">
        <v>105</v>
      </c>
      <c r="H107" s="24" t="s">
        <v>1007</v>
      </c>
      <c r="I107" s="15" t="s">
        <v>8</v>
      </c>
      <c r="J107" s="17" t="s">
        <v>35</v>
      </c>
      <c r="K107" s="17" t="s">
        <v>1472</v>
      </c>
      <c r="L107" s="15" t="s">
        <v>31</v>
      </c>
      <c r="M107" s="15" t="s">
        <v>25</v>
      </c>
      <c r="N107" s="15" t="s">
        <v>75</v>
      </c>
      <c r="O107" s="15" t="s">
        <v>996</v>
      </c>
      <c r="P107" s="15" t="s">
        <v>285</v>
      </c>
      <c r="Q107" s="16" t="s">
        <v>313</v>
      </c>
      <c r="R107" s="16" t="s">
        <v>1008</v>
      </c>
      <c r="S107" s="15" t="s">
        <v>50</v>
      </c>
      <c r="T107" s="15" t="s">
        <v>1009</v>
      </c>
      <c r="U107" s="15">
        <v>5</v>
      </c>
      <c r="V107" s="57">
        <f t="shared" si="11"/>
        <v>5</v>
      </c>
      <c r="W107" s="57" t="str">
        <f t="shared" si="16"/>
        <v>S</v>
      </c>
      <c r="X107" s="15" t="s">
        <v>16</v>
      </c>
      <c r="Y107" s="15" t="s">
        <v>14</v>
      </c>
      <c r="Z107" s="31" t="s">
        <v>1465</v>
      </c>
      <c r="AA107" s="15" t="s">
        <v>1010</v>
      </c>
      <c r="AB107" s="15">
        <v>10</v>
      </c>
      <c r="AC107" s="15">
        <f t="shared" si="12"/>
        <v>10</v>
      </c>
      <c r="AD107" s="15" t="str">
        <f t="shared" si="10"/>
        <v>L</v>
      </c>
      <c r="AE107" s="15" t="s">
        <v>1011</v>
      </c>
      <c r="AF107" s="15" t="s">
        <v>753</v>
      </c>
      <c r="AG107" s="17">
        <f>310+146</f>
        <v>456</v>
      </c>
      <c r="AH107" s="17">
        <v>310</v>
      </c>
      <c r="AI107" s="17"/>
      <c r="AJ107" s="17"/>
      <c r="AK107" s="17"/>
      <c r="AL107" s="47">
        <v>277</v>
      </c>
      <c r="AM107" s="17">
        <f>+AL107-AN107</f>
        <v>262</v>
      </c>
      <c r="AN107" s="47">
        <v>15</v>
      </c>
      <c r="AO107" s="47">
        <f>21+14+5</f>
        <v>40</v>
      </c>
      <c r="AP107" s="17">
        <f>17+14+4</f>
        <v>35</v>
      </c>
      <c r="AQ107" s="17">
        <v>5</v>
      </c>
      <c r="AR107" s="17"/>
      <c r="AS107" s="17">
        <v>35</v>
      </c>
      <c r="AT107" s="17"/>
      <c r="AU107" s="17"/>
      <c r="AV107" s="17"/>
      <c r="AW107" s="17"/>
      <c r="AX107" s="17"/>
      <c r="AY107" s="17"/>
      <c r="AZ107" s="17"/>
      <c r="BA107" s="17">
        <v>146</v>
      </c>
      <c r="BB107" s="17"/>
      <c r="BC107" s="17"/>
      <c r="BD107" s="17"/>
      <c r="BE107" s="47">
        <v>130</v>
      </c>
      <c r="BF107" s="17">
        <v>125</v>
      </c>
      <c r="BG107" s="47">
        <v>5</v>
      </c>
      <c r="BH107" s="17">
        <v>19</v>
      </c>
      <c r="BI107" s="17">
        <v>16</v>
      </c>
      <c r="BJ107" s="17">
        <v>3</v>
      </c>
      <c r="BK107" s="17"/>
      <c r="BL107" s="17">
        <v>45</v>
      </c>
      <c r="BM107" s="17"/>
      <c r="BN107" s="17"/>
      <c r="BO107" s="17"/>
      <c r="BP107" s="17"/>
      <c r="BQ107" s="17"/>
      <c r="BR107" s="17"/>
      <c r="BS107" s="17"/>
      <c r="BT107" s="17">
        <f>139+56</f>
        <v>195</v>
      </c>
      <c r="BU107" s="17">
        <v>5</v>
      </c>
      <c r="BV107" s="17">
        <v>2</v>
      </c>
      <c r="BW107" s="17"/>
      <c r="BX107" s="17"/>
      <c r="BY107" s="17">
        <v>1</v>
      </c>
      <c r="BZ107" s="17">
        <f>85+39+15+48</f>
        <v>187</v>
      </c>
      <c r="CA107" s="17"/>
      <c r="CB107" s="17"/>
      <c r="CC107" s="17"/>
      <c r="CD107" s="17"/>
      <c r="CE107" s="17"/>
      <c r="CF107" s="17"/>
      <c r="CG107" s="17"/>
      <c r="CH107" s="17"/>
      <c r="CI107" s="17"/>
      <c r="CJ107" s="17"/>
      <c r="CK107" s="17"/>
      <c r="CL107" s="17"/>
      <c r="CM107" s="17"/>
      <c r="CN107" s="18"/>
      <c r="CO107" s="18"/>
      <c r="CP107" s="18"/>
      <c r="CQ107" s="18"/>
      <c r="CR107" s="18"/>
      <c r="CS107" s="18"/>
      <c r="CT107" s="18"/>
      <c r="CU107" s="18"/>
      <c r="CV107" s="18"/>
      <c r="CW107" s="18"/>
      <c r="CX107" s="18"/>
      <c r="CY107" s="18"/>
    </row>
    <row r="108" spans="1:103" s="19" customFormat="1" x14ac:dyDescent="0.2">
      <c r="A108" s="58">
        <v>100</v>
      </c>
      <c r="B108" s="14" t="s">
        <v>1429</v>
      </c>
      <c r="C108" s="14" t="s">
        <v>79</v>
      </c>
      <c r="D108" s="15" t="s">
        <v>94</v>
      </c>
      <c r="E108" s="15"/>
      <c r="F108" s="15">
        <v>2021</v>
      </c>
      <c r="G108" s="16" t="s">
        <v>93</v>
      </c>
      <c r="H108" s="24"/>
      <c r="I108" s="15" t="s">
        <v>8</v>
      </c>
      <c r="J108" s="17" t="s">
        <v>111</v>
      </c>
      <c r="K108" s="17" t="s">
        <v>1472</v>
      </c>
      <c r="L108" s="15" t="s">
        <v>31</v>
      </c>
      <c r="M108" s="15" t="s">
        <v>11</v>
      </c>
      <c r="N108" s="15" t="s">
        <v>75</v>
      </c>
      <c r="O108" s="15" t="s">
        <v>997</v>
      </c>
      <c r="P108" s="15"/>
      <c r="Q108" s="16" t="s">
        <v>313</v>
      </c>
      <c r="R108" s="16" t="s">
        <v>1012</v>
      </c>
      <c r="S108" s="15" t="s">
        <v>23</v>
      </c>
      <c r="T108" s="15" t="s">
        <v>110</v>
      </c>
      <c r="U108" s="15">
        <v>5</v>
      </c>
      <c r="V108" s="57">
        <f t="shared" si="11"/>
        <v>5</v>
      </c>
      <c r="W108" s="57" t="str">
        <f t="shared" si="16"/>
        <v>S</v>
      </c>
      <c r="X108" s="15" t="s">
        <v>131</v>
      </c>
      <c r="Y108" s="15" t="s">
        <v>388</v>
      </c>
      <c r="Z108" s="31" t="s">
        <v>23</v>
      </c>
      <c r="AA108" s="15" t="s">
        <v>110</v>
      </c>
      <c r="AB108" s="15">
        <v>10</v>
      </c>
      <c r="AC108" s="15">
        <f t="shared" si="12"/>
        <v>10</v>
      </c>
      <c r="AD108" s="15" t="str">
        <f t="shared" si="10"/>
        <v>L</v>
      </c>
      <c r="AE108" s="15" t="s">
        <v>131</v>
      </c>
      <c r="AF108" s="15" t="s">
        <v>388</v>
      </c>
      <c r="AG108" s="17">
        <v>281</v>
      </c>
      <c r="AH108" s="17">
        <v>140</v>
      </c>
      <c r="AI108" s="17">
        <v>140</v>
      </c>
      <c r="AJ108" s="17">
        <v>108</v>
      </c>
      <c r="AK108" s="17">
        <v>32</v>
      </c>
      <c r="AL108" s="47">
        <v>122</v>
      </c>
      <c r="AM108" s="17">
        <v>101</v>
      </c>
      <c r="AN108" s="47">
        <v>21</v>
      </c>
      <c r="AO108" s="47"/>
      <c r="AP108" s="17"/>
      <c r="AQ108" s="17"/>
      <c r="AR108" s="17">
        <v>11</v>
      </c>
      <c r="AS108" s="17"/>
      <c r="AT108" s="17">
        <v>1</v>
      </c>
      <c r="AU108" s="17"/>
      <c r="AV108" s="17"/>
      <c r="AW108" s="17"/>
      <c r="AX108" s="17"/>
      <c r="AY108" s="17"/>
      <c r="AZ108" s="17"/>
      <c r="BA108" s="17">
        <v>141</v>
      </c>
      <c r="BB108" s="17">
        <v>141</v>
      </c>
      <c r="BC108" s="17">
        <v>106</v>
      </c>
      <c r="BD108" s="17">
        <v>35</v>
      </c>
      <c r="BE108" s="47">
        <v>114</v>
      </c>
      <c r="BF108" s="17">
        <v>99</v>
      </c>
      <c r="BG108" s="47">
        <f>+BE108-BF108</f>
        <v>15</v>
      </c>
      <c r="BH108" s="17"/>
      <c r="BI108" s="17"/>
      <c r="BJ108" s="17"/>
      <c r="BK108" s="17">
        <v>12</v>
      </c>
      <c r="BL108" s="17"/>
      <c r="BM108" s="17">
        <v>4</v>
      </c>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8"/>
      <c r="CO108" s="18"/>
      <c r="CP108" s="18"/>
      <c r="CQ108" s="18"/>
      <c r="CR108" s="18"/>
      <c r="CS108" s="18"/>
      <c r="CT108" s="18"/>
      <c r="CU108" s="18"/>
      <c r="CV108" s="18"/>
      <c r="CW108" s="18"/>
      <c r="CX108" s="18"/>
      <c r="CY108" s="18"/>
    </row>
    <row r="109" spans="1:103" s="19" customFormat="1" x14ac:dyDescent="0.2">
      <c r="A109" s="58">
        <v>101</v>
      </c>
      <c r="B109" s="14" t="s">
        <v>1429</v>
      </c>
      <c r="C109" s="14" t="s">
        <v>79</v>
      </c>
      <c r="D109" s="15" t="s">
        <v>101</v>
      </c>
      <c r="E109" s="15"/>
      <c r="F109" s="15">
        <v>1994</v>
      </c>
      <c r="G109" s="16" t="s">
        <v>106</v>
      </c>
      <c r="H109" s="24"/>
      <c r="I109" s="15" t="s">
        <v>8</v>
      </c>
      <c r="J109" s="17" t="s">
        <v>49</v>
      </c>
      <c r="K109" s="17" t="s">
        <v>366</v>
      </c>
      <c r="L109" s="15" t="s">
        <v>31</v>
      </c>
      <c r="M109" s="15" t="s">
        <v>333</v>
      </c>
      <c r="N109" s="15" t="s">
        <v>75</v>
      </c>
      <c r="O109" s="15"/>
      <c r="P109" s="31" t="s">
        <v>333</v>
      </c>
      <c r="Q109" s="16" t="s">
        <v>313</v>
      </c>
      <c r="R109" s="16" t="s">
        <v>1013</v>
      </c>
      <c r="S109" s="15" t="s">
        <v>50</v>
      </c>
      <c r="T109" s="15" t="s">
        <v>789</v>
      </c>
      <c r="U109" s="15">
        <v>3</v>
      </c>
      <c r="V109" s="57">
        <f t="shared" si="11"/>
        <v>3</v>
      </c>
      <c r="W109" s="57" t="str">
        <f t="shared" si="16"/>
        <v>S</v>
      </c>
      <c r="X109" s="15" t="s">
        <v>16</v>
      </c>
      <c r="Y109" s="15" t="s">
        <v>14</v>
      </c>
      <c r="Z109" s="31" t="s">
        <v>1466</v>
      </c>
      <c r="AA109" s="15" t="s">
        <v>1000</v>
      </c>
      <c r="AB109" s="15">
        <v>7</v>
      </c>
      <c r="AC109" s="15">
        <f t="shared" si="12"/>
        <v>7</v>
      </c>
      <c r="AD109" s="15" t="str">
        <f t="shared" si="10"/>
        <v>L</v>
      </c>
      <c r="AE109" s="15" t="s">
        <v>16</v>
      </c>
      <c r="AF109" s="15" t="s">
        <v>14</v>
      </c>
      <c r="AG109" s="17">
        <v>110</v>
      </c>
      <c r="AH109" s="17">
        <v>65</v>
      </c>
      <c r="AI109" s="17">
        <v>65</v>
      </c>
      <c r="AJ109" s="17">
        <v>64</v>
      </c>
      <c r="AK109" s="17">
        <f>+AI109*0.021</f>
        <v>1.365</v>
      </c>
      <c r="AL109" s="47">
        <v>65</v>
      </c>
      <c r="AM109" s="17">
        <v>64</v>
      </c>
      <c r="AN109" s="47">
        <v>1</v>
      </c>
      <c r="AO109" s="47"/>
      <c r="AP109" s="17"/>
      <c r="AQ109" s="17"/>
      <c r="AR109" s="17"/>
      <c r="AS109" s="17">
        <v>3</v>
      </c>
      <c r="AT109" s="17"/>
      <c r="AU109" s="17"/>
      <c r="AV109" s="17"/>
      <c r="AW109" s="17"/>
      <c r="AX109" s="17"/>
      <c r="AY109" s="17"/>
      <c r="AZ109" s="17"/>
      <c r="BA109" s="17">
        <v>45</v>
      </c>
      <c r="BB109" s="17">
        <v>45</v>
      </c>
      <c r="BC109" s="17">
        <v>41</v>
      </c>
      <c r="BD109" s="17">
        <v>4</v>
      </c>
      <c r="BE109" s="47">
        <v>45</v>
      </c>
      <c r="BF109" s="17">
        <v>41</v>
      </c>
      <c r="BG109" s="47">
        <f>45*0.088</f>
        <v>3.96</v>
      </c>
      <c r="BH109" s="17"/>
      <c r="BI109" s="17"/>
      <c r="BJ109" s="17"/>
      <c r="BK109" s="17"/>
      <c r="BL109" s="17">
        <v>3</v>
      </c>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8"/>
      <c r="CO109" s="18"/>
      <c r="CP109" s="18"/>
      <c r="CQ109" s="18"/>
      <c r="CR109" s="18"/>
      <c r="CS109" s="18"/>
      <c r="CT109" s="18"/>
      <c r="CU109" s="18"/>
      <c r="CV109" s="18"/>
      <c r="CW109" s="18"/>
      <c r="CX109" s="18"/>
      <c r="CY109" s="18"/>
    </row>
    <row r="110" spans="1:103" s="19" customFormat="1" x14ac:dyDescent="0.2">
      <c r="A110" s="58">
        <v>102</v>
      </c>
      <c r="B110" s="14" t="s">
        <v>1429</v>
      </c>
      <c r="C110" s="14" t="s">
        <v>79</v>
      </c>
      <c r="D110" s="15" t="s">
        <v>103</v>
      </c>
      <c r="E110" s="15"/>
      <c r="F110" s="15">
        <v>1996</v>
      </c>
      <c r="G110" s="16" t="s">
        <v>107</v>
      </c>
      <c r="H110" s="24"/>
      <c r="I110" s="15" t="s">
        <v>8</v>
      </c>
      <c r="J110" s="17" t="s">
        <v>64</v>
      </c>
      <c r="K110" s="17" t="s">
        <v>366</v>
      </c>
      <c r="L110" s="15" t="s">
        <v>31</v>
      </c>
      <c r="M110" s="15" t="s">
        <v>11</v>
      </c>
      <c r="N110" s="15" t="s">
        <v>75</v>
      </c>
      <c r="O110" s="15" t="s">
        <v>998</v>
      </c>
      <c r="P110" s="15" t="s">
        <v>285</v>
      </c>
      <c r="Q110" s="16" t="s">
        <v>313</v>
      </c>
      <c r="R110" s="16" t="s">
        <v>1016</v>
      </c>
      <c r="S110" s="15" t="s">
        <v>50</v>
      </c>
      <c r="T110" s="15" t="s">
        <v>1014</v>
      </c>
      <c r="U110" s="15">
        <v>3</v>
      </c>
      <c r="V110" s="57">
        <f t="shared" si="11"/>
        <v>3</v>
      </c>
      <c r="W110" s="57" t="str">
        <f t="shared" si="16"/>
        <v>S</v>
      </c>
      <c r="X110" s="15" t="s">
        <v>16</v>
      </c>
      <c r="Y110" s="15" t="s">
        <v>14</v>
      </c>
      <c r="Z110" s="31" t="s">
        <v>198</v>
      </c>
      <c r="AA110" s="15" t="s">
        <v>1015</v>
      </c>
      <c r="AB110" s="15">
        <v>10</v>
      </c>
      <c r="AC110" s="15">
        <f t="shared" si="12"/>
        <v>10</v>
      </c>
      <c r="AD110" s="15" t="str">
        <f t="shared" si="10"/>
        <v>L</v>
      </c>
      <c r="AE110" s="15" t="s">
        <v>16</v>
      </c>
      <c r="AF110" s="15" t="s">
        <v>14</v>
      </c>
      <c r="AG110" s="17">
        <v>85</v>
      </c>
      <c r="AH110" s="17">
        <v>44</v>
      </c>
      <c r="AI110" s="17">
        <v>44</v>
      </c>
      <c r="AJ110" s="17">
        <v>43</v>
      </c>
      <c r="AK110" s="17">
        <v>1</v>
      </c>
      <c r="AL110" s="47">
        <v>44</v>
      </c>
      <c r="AM110" s="17">
        <v>43</v>
      </c>
      <c r="AN110" s="47">
        <v>1</v>
      </c>
      <c r="AO110" s="47"/>
      <c r="AP110" s="17"/>
      <c r="AQ110" s="17"/>
      <c r="AR110" s="17">
        <v>2</v>
      </c>
      <c r="AS110" s="17">
        <v>12</v>
      </c>
      <c r="AT110" s="17"/>
      <c r="AU110" s="17"/>
      <c r="AV110" s="17"/>
      <c r="AW110" s="17"/>
      <c r="AX110" s="17"/>
      <c r="AY110" s="17"/>
      <c r="AZ110" s="17"/>
      <c r="BA110" s="17">
        <v>40</v>
      </c>
      <c r="BB110" s="17">
        <v>40</v>
      </c>
      <c r="BC110" s="17">
        <v>36</v>
      </c>
      <c r="BD110" s="17">
        <v>4</v>
      </c>
      <c r="BE110" s="47">
        <v>40</v>
      </c>
      <c r="BF110" s="17">
        <v>36</v>
      </c>
      <c r="BG110" s="47">
        <v>4</v>
      </c>
      <c r="BH110" s="17"/>
      <c r="BI110" s="17"/>
      <c r="BJ110" s="17"/>
      <c r="BK110" s="17">
        <v>0</v>
      </c>
      <c r="BL110" s="17">
        <v>6</v>
      </c>
      <c r="BM110" s="17"/>
      <c r="BN110" s="17"/>
      <c r="BO110" s="17"/>
      <c r="BP110" s="17"/>
      <c r="BQ110" s="17"/>
      <c r="BR110" s="17"/>
      <c r="BS110" s="17"/>
      <c r="BT110" s="17">
        <f>18+4+1+1+8+4+4+3+1</f>
        <v>44</v>
      </c>
      <c r="BU110" s="17">
        <v>11</v>
      </c>
      <c r="BV110" s="17">
        <v>19</v>
      </c>
      <c r="BW110" s="17">
        <v>1</v>
      </c>
      <c r="BX110" s="17"/>
      <c r="BY110" s="17">
        <v>1</v>
      </c>
      <c r="BZ110" s="17"/>
      <c r="CA110" s="17">
        <v>0</v>
      </c>
      <c r="CB110" s="17">
        <v>14</v>
      </c>
      <c r="CC110" s="17"/>
      <c r="CD110" s="17"/>
      <c r="CE110" s="17"/>
      <c r="CF110" s="17"/>
      <c r="CG110" s="17"/>
      <c r="CH110" s="17"/>
      <c r="CI110" s="17"/>
      <c r="CJ110" s="17"/>
      <c r="CK110" s="17"/>
      <c r="CL110" s="17"/>
      <c r="CM110" s="17"/>
      <c r="CN110" s="18"/>
      <c r="CO110" s="18"/>
      <c r="CP110" s="18"/>
      <c r="CQ110" s="18"/>
      <c r="CR110" s="18"/>
      <c r="CS110" s="18"/>
      <c r="CT110" s="18"/>
      <c r="CU110" s="18"/>
      <c r="CV110" s="18"/>
      <c r="CW110" s="18"/>
      <c r="CX110" s="18"/>
      <c r="CY110" s="18"/>
    </row>
    <row r="111" spans="1:103" s="19" customFormat="1" x14ac:dyDescent="0.2">
      <c r="A111" s="58">
        <v>103</v>
      </c>
      <c r="B111" s="14" t="s">
        <v>1429</v>
      </c>
      <c r="C111" s="14" t="s">
        <v>79</v>
      </c>
      <c r="D111" s="15" t="s">
        <v>104</v>
      </c>
      <c r="E111" s="15"/>
      <c r="F111" s="15">
        <v>2019</v>
      </c>
      <c r="G111" s="16" t="s">
        <v>108</v>
      </c>
      <c r="H111" s="24" t="s">
        <v>319</v>
      </c>
      <c r="I111" s="15" t="s">
        <v>8</v>
      </c>
      <c r="J111" s="17" t="s">
        <v>109</v>
      </c>
      <c r="K111" s="17" t="s">
        <v>1471</v>
      </c>
      <c r="L111" s="15" t="s">
        <v>31</v>
      </c>
      <c r="M111" s="15" t="s">
        <v>11</v>
      </c>
      <c r="N111" s="15" t="s">
        <v>75</v>
      </c>
      <c r="O111" s="15" t="s">
        <v>890</v>
      </c>
      <c r="P111" s="15" t="s">
        <v>285</v>
      </c>
      <c r="Q111" s="17" t="s">
        <v>308</v>
      </c>
      <c r="R111" s="16" t="s">
        <v>318</v>
      </c>
      <c r="S111" s="15" t="s">
        <v>23</v>
      </c>
      <c r="T111" s="15" t="s">
        <v>1000</v>
      </c>
      <c r="U111" s="15">
        <v>3</v>
      </c>
      <c r="V111" s="57">
        <f t="shared" si="11"/>
        <v>3</v>
      </c>
      <c r="W111" s="57" t="str">
        <f t="shared" si="16"/>
        <v>S</v>
      </c>
      <c r="X111" s="15" t="s">
        <v>131</v>
      </c>
      <c r="Y111" s="15" t="s">
        <v>388</v>
      </c>
      <c r="Z111" s="31" t="s">
        <v>194</v>
      </c>
      <c r="AA111" s="15" t="s">
        <v>316</v>
      </c>
      <c r="AB111" s="15">
        <v>5</v>
      </c>
      <c r="AC111" s="15">
        <f t="shared" si="12"/>
        <v>5</v>
      </c>
      <c r="AD111" s="15" t="str">
        <f t="shared" si="10"/>
        <v>S</v>
      </c>
      <c r="AE111" s="15" t="s">
        <v>772</v>
      </c>
      <c r="AF111" s="15" t="s">
        <v>388</v>
      </c>
      <c r="AG111" s="17">
        <v>15749</v>
      </c>
      <c r="AH111" s="17">
        <v>9153</v>
      </c>
      <c r="AI111" s="17">
        <v>9153</v>
      </c>
      <c r="AJ111" s="17">
        <f>+AI111-AK111</f>
        <v>8779</v>
      </c>
      <c r="AK111" s="17">
        <v>374</v>
      </c>
      <c r="AL111" s="47"/>
      <c r="AM111" s="17"/>
      <c r="AN111" s="47"/>
      <c r="AO111" s="47"/>
      <c r="AP111" s="17"/>
      <c r="AQ111" s="17"/>
      <c r="AR111" s="17"/>
      <c r="AS111" s="17">
        <v>234</v>
      </c>
      <c r="AT111" s="17"/>
      <c r="AU111" s="17"/>
      <c r="AV111" s="17"/>
      <c r="AW111" s="17">
        <v>0</v>
      </c>
      <c r="AX111" s="17"/>
      <c r="AY111" s="17"/>
      <c r="AZ111" s="17"/>
      <c r="BA111" s="17">
        <v>6509</v>
      </c>
      <c r="BB111" s="17">
        <v>6548</v>
      </c>
      <c r="BC111" s="17">
        <f>+BB111-BD111</f>
        <v>5917</v>
      </c>
      <c r="BD111" s="17">
        <v>631</v>
      </c>
      <c r="BE111" s="47"/>
      <c r="BF111" s="17"/>
      <c r="BG111" s="47"/>
      <c r="BH111" s="17"/>
      <c r="BI111" s="17"/>
      <c r="BJ111" s="17"/>
      <c r="BK111" s="17"/>
      <c r="BL111" s="17">
        <v>152</v>
      </c>
      <c r="BM111" s="17"/>
      <c r="BN111" s="17"/>
      <c r="BO111" s="17"/>
      <c r="BP111" s="17">
        <v>0</v>
      </c>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8"/>
      <c r="CO111" s="18"/>
      <c r="CP111" s="18"/>
      <c r="CQ111" s="18"/>
      <c r="CR111" s="18"/>
      <c r="CS111" s="18"/>
      <c r="CT111" s="18"/>
      <c r="CU111" s="18"/>
      <c r="CV111" s="18"/>
      <c r="CW111" s="18"/>
      <c r="CX111" s="18"/>
      <c r="CY111" s="18"/>
    </row>
    <row r="112" spans="1:103" s="19" customFormat="1" x14ac:dyDescent="0.2">
      <c r="A112" s="58">
        <v>104</v>
      </c>
      <c r="B112" s="14" t="s">
        <v>1429</v>
      </c>
      <c r="C112" s="14" t="s">
        <v>79</v>
      </c>
      <c r="D112" s="15" t="s">
        <v>95</v>
      </c>
      <c r="E112" s="15"/>
      <c r="F112" s="15">
        <v>2022</v>
      </c>
      <c r="G112" s="16" t="s">
        <v>145</v>
      </c>
      <c r="H112" s="24"/>
      <c r="I112" s="15" t="s">
        <v>8</v>
      </c>
      <c r="J112" s="17" t="s">
        <v>35</v>
      </c>
      <c r="K112" s="17" t="s">
        <v>1472</v>
      </c>
      <c r="L112" s="15" t="s">
        <v>31</v>
      </c>
      <c r="M112" s="15" t="s">
        <v>11</v>
      </c>
      <c r="N112" s="15" t="s">
        <v>75</v>
      </c>
      <c r="O112" s="15" t="s">
        <v>999</v>
      </c>
      <c r="P112" s="15" t="s">
        <v>285</v>
      </c>
      <c r="Q112" s="16" t="s">
        <v>313</v>
      </c>
      <c r="R112" s="16" t="s">
        <v>1017</v>
      </c>
      <c r="S112" s="15" t="s">
        <v>23</v>
      </c>
      <c r="T112" s="15" t="s">
        <v>1018</v>
      </c>
      <c r="U112" s="15">
        <v>5</v>
      </c>
      <c r="V112" s="57">
        <f t="shared" si="11"/>
        <v>5</v>
      </c>
      <c r="W112" s="57" t="str">
        <f t="shared" si="16"/>
        <v>S</v>
      </c>
      <c r="X112" s="15" t="s">
        <v>131</v>
      </c>
      <c r="Y112" s="15" t="s">
        <v>388</v>
      </c>
      <c r="Z112" s="31" t="s">
        <v>23</v>
      </c>
      <c r="AA112" s="15" t="s">
        <v>1018</v>
      </c>
      <c r="AB112" s="15">
        <v>10</v>
      </c>
      <c r="AC112" s="15">
        <f t="shared" si="12"/>
        <v>10</v>
      </c>
      <c r="AD112" s="15" t="str">
        <f t="shared" si="10"/>
        <v>L</v>
      </c>
      <c r="AE112" s="15" t="s">
        <v>131</v>
      </c>
      <c r="AF112" s="15" t="s">
        <v>388</v>
      </c>
      <c r="AG112" s="17">
        <v>385</v>
      </c>
      <c r="AH112" s="17">
        <v>189</v>
      </c>
      <c r="AI112" s="17">
        <v>189</v>
      </c>
      <c r="AJ112" s="17">
        <v>187</v>
      </c>
      <c r="AK112" s="17">
        <v>2</v>
      </c>
      <c r="AL112" s="47"/>
      <c r="AM112" s="17"/>
      <c r="AN112" s="47"/>
      <c r="AO112" s="47"/>
      <c r="AP112" s="17"/>
      <c r="AQ112" s="17"/>
      <c r="AR112" s="17"/>
      <c r="AS112" s="17"/>
      <c r="AT112" s="17">
        <v>75</v>
      </c>
      <c r="AU112" s="17">
        <v>1</v>
      </c>
      <c r="AV112" s="17">
        <v>0</v>
      </c>
      <c r="AW112" s="17">
        <v>0</v>
      </c>
      <c r="AX112" s="17"/>
      <c r="AY112" s="17"/>
      <c r="AZ112" s="17"/>
      <c r="BA112" s="17">
        <v>191</v>
      </c>
      <c r="BB112" s="17">
        <v>191</v>
      </c>
      <c r="BC112" s="17">
        <v>190</v>
      </c>
      <c r="BD112" s="17">
        <v>1</v>
      </c>
      <c r="BE112" s="47"/>
      <c r="BF112" s="17"/>
      <c r="BG112" s="47"/>
      <c r="BH112" s="17"/>
      <c r="BI112" s="17"/>
      <c r="BJ112" s="17"/>
      <c r="BK112" s="17"/>
      <c r="BL112" s="17"/>
      <c r="BM112" s="17">
        <v>70</v>
      </c>
      <c r="BN112" s="17">
        <v>2</v>
      </c>
      <c r="BO112" s="17">
        <v>0</v>
      </c>
      <c r="BP112" s="17">
        <v>0</v>
      </c>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8"/>
      <c r="CO112" s="18"/>
      <c r="CP112" s="18"/>
      <c r="CQ112" s="18"/>
      <c r="CR112" s="18"/>
      <c r="CS112" s="18"/>
      <c r="CT112" s="18"/>
      <c r="CU112" s="18"/>
      <c r="CV112" s="18"/>
      <c r="CW112" s="18"/>
      <c r="CX112" s="18"/>
      <c r="CY112" s="18"/>
    </row>
    <row r="113" spans="1:103" s="36" customFormat="1" x14ac:dyDescent="0.2">
      <c r="A113" s="58">
        <v>105</v>
      </c>
      <c r="B113" s="14" t="s">
        <v>1429</v>
      </c>
      <c r="C113" s="30" t="s">
        <v>79</v>
      </c>
      <c r="D113" s="31" t="s">
        <v>37</v>
      </c>
      <c r="E113" s="29" t="s">
        <v>384</v>
      </c>
      <c r="F113" s="31">
        <v>2019</v>
      </c>
      <c r="G113" s="32" t="s">
        <v>42</v>
      </c>
      <c r="H113" s="41" t="s">
        <v>43</v>
      </c>
      <c r="I113" s="31" t="s">
        <v>8</v>
      </c>
      <c r="J113" s="32" t="s">
        <v>402</v>
      </c>
      <c r="K113" s="32" t="s">
        <v>1473</v>
      </c>
      <c r="L113" s="31" t="s">
        <v>31</v>
      </c>
      <c r="M113" s="15" t="s">
        <v>25</v>
      </c>
      <c r="N113" s="31" t="s">
        <v>201</v>
      </c>
      <c r="O113" s="31" t="s">
        <v>404</v>
      </c>
      <c r="P113" s="31" t="s">
        <v>285</v>
      </c>
      <c r="Q113" s="32" t="s">
        <v>313</v>
      </c>
      <c r="R113" s="32" t="s">
        <v>394</v>
      </c>
      <c r="S113" s="31" t="s">
        <v>39</v>
      </c>
      <c r="T113" s="31" t="s">
        <v>1064</v>
      </c>
      <c r="U113" s="31">
        <v>5</v>
      </c>
      <c r="V113" s="57">
        <f t="shared" si="11"/>
        <v>5</v>
      </c>
      <c r="W113" s="57" t="str">
        <f t="shared" si="16"/>
        <v>S</v>
      </c>
      <c r="X113" s="31" t="s">
        <v>13</v>
      </c>
      <c r="Y113" s="31" t="s">
        <v>14</v>
      </c>
      <c r="Z113" s="31" t="s">
        <v>40</v>
      </c>
      <c r="AA113" s="31" t="s">
        <v>240</v>
      </c>
      <c r="AB113" s="31">
        <v>7</v>
      </c>
      <c r="AC113" s="15">
        <f t="shared" si="12"/>
        <v>7</v>
      </c>
      <c r="AD113" s="15" t="str">
        <f t="shared" si="10"/>
        <v>L</v>
      </c>
      <c r="AE113" s="31" t="s">
        <v>13</v>
      </c>
      <c r="AF113" s="31" t="s">
        <v>14</v>
      </c>
      <c r="AG113" s="33">
        <f>+AH113+BA113</f>
        <v>738</v>
      </c>
      <c r="AH113" s="33">
        <v>370</v>
      </c>
      <c r="AI113" s="33">
        <v>368</v>
      </c>
      <c r="AJ113" s="33">
        <v>322</v>
      </c>
      <c r="AK113" s="33">
        <v>44</v>
      </c>
      <c r="AL113" s="44">
        <v>330</v>
      </c>
      <c r="AM113" s="33">
        <v>296</v>
      </c>
      <c r="AN113" s="44">
        <v>34</v>
      </c>
      <c r="AO113" s="44">
        <v>205</v>
      </c>
      <c r="AP113" s="33">
        <v>176</v>
      </c>
      <c r="AQ113" s="33">
        <f>+AO113-AP113</f>
        <v>29</v>
      </c>
      <c r="AR113" s="33"/>
      <c r="AS113" s="33">
        <v>120</v>
      </c>
      <c r="AT113" s="33">
        <v>58</v>
      </c>
      <c r="AU113" s="33">
        <v>17</v>
      </c>
      <c r="AV113" s="33"/>
      <c r="AW113" s="33">
        <v>3</v>
      </c>
      <c r="AX113" s="33"/>
      <c r="AY113" s="33"/>
      <c r="AZ113" s="33"/>
      <c r="BA113" s="33">
        <v>368</v>
      </c>
      <c r="BB113" s="33">
        <v>368</v>
      </c>
      <c r="BC113" s="33">
        <v>328</v>
      </c>
      <c r="BD113" s="33">
        <v>32</v>
      </c>
      <c r="BE113" s="44">
        <v>326</v>
      </c>
      <c r="BF113" s="33">
        <v>305</v>
      </c>
      <c r="BG113" s="44">
        <v>21</v>
      </c>
      <c r="BH113" s="33">
        <v>186</v>
      </c>
      <c r="BI113" s="33">
        <v>163</v>
      </c>
      <c r="BJ113" s="33">
        <f>+BH113-BI113</f>
        <v>23</v>
      </c>
      <c r="BK113" s="33"/>
      <c r="BL113" s="33">
        <v>92</v>
      </c>
      <c r="BM113" s="33">
        <v>29</v>
      </c>
      <c r="BN113" s="33">
        <v>18</v>
      </c>
      <c r="BO113" s="33"/>
      <c r="BP113" s="33">
        <v>3</v>
      </c>
      <c r="BQ113" s="33"/>
      <c r="BR113" s="33"/>
      <c r="BS113" s="33"/>
      <c r="BT113" s="33">
        <f>123+13+56+21+20+16+16+12+17+14+11+48+6+126</f>
        <v>499</v>
      </c>
      <c r="BU113" s="33">
        <f>123+126</f>
        <v>249</v>
      </c>
      <c r="BV113" s="33">
        <f>56+48</f>
        <v>104</v>
      </c>
      <c r="BW113" s="33"/>
      <c r="BX113" s="33"/>
      <c r="BY113" s="33">
        <f>13+6</f>
        <v>19</v>
      </c>
      <c r="BZ113" s="33">
        <f>20+16+16+12+17+14</f>
        <v>95</v>
      </c>
      <c r="CA113" s="43"/>
      <c r="CB113" s="33"/>
      <c r="CC113" s="43" t="s">
        <v>399</v>
      </c>
      <c r="CD113" s="33"/>
      <c r="CE113" s="33"/>
      <c r="CF113" s="33"/>
      <c r="CG113" s="33"/>
      <c r="CH113" s="33"/>
      <c r="CI113" s="33"/>
      <c r="CJ113" s="33"/>
      <c r="CK113" s="33"/>
      <c r="CL113" s="33"/>
      <c r="CM113" s="33"/>
      <c r="CN113" s="35"/>
      <c r="CO113" s="35"/>
      <c r="CP113" s="35"/>
      <c r="CQ113" s="35"/>
      <c r="CR113" s="35"/>
      <c r="CS113" s="35"/>
      <c r="CT113" s="35"/>
      <c r="CU113" s="35"/>
      <c r="CV113" s="35"/>
      <c r="CW113" s="35"/>
      <c r="CX113" s="35"/>
      <c r="CY113" s="35"/>
    </row>
    <row r="114" spans="1:103" s="36" customFormat="1" x14ac:dyDescent="0.2">
      <c r="A114" s="58">
        <v>106</v>
      </c>
      <c r="B114" s="14" t="s">
        <v>1429</v>
      </c>
      <c r="C114" s="30" t="s">
        <v>79</v>
      </c>
      <c r="D114" s="31" t="s">
        <v>205</v>
      </c>
      <c r="E114" s="29"/>
      <c r="F114" s="31">
        <v>1998</v>
      </c>
      <c r="G114" s="32" t="s">
        <v>332</v>
      </c>
      <c r="H114" s="41"/>
      <c r="I114" s="31" t="s">
        <v>8</v>
      </c>
      <c r="J114" s="32" t="s">
        <v>330</v>
      </c>
      <c r="K114" s="32" t="s">
        <v>1473</v>
      </c>
      <c r="L114" s="31" t="s">
        <v>31</v>
      </c>
      <c r="M114" s="15" t="s">
        <v>25</v>
      </c>
      <c r="N114" s="31" t="s">
        <v>201</v>
      </c>
      <c r="O114" s="31"/>
      <c r="P114" s="15" t="s">
        <v>285</v>
      </c>
      <c r="Q114" s="32" t="s">
        <v>313</v>
      </c>
      <c r="R114" s="32" t="s">
        <v>331</v>
      </c>
      <c r="S114" s="31" t="s">
        <v>137</v>
      </c>
      <c r="T114" s="31" t="s">
        <v>866</v>
      </c>
      <c r="U114" s="31">
        <v>10</v>
      </c>
      <c r="V114" s="57">
        <f t="shared" si="11"/>
        <v>10</v>
      </c>
      <c r="W114" s="57" t="str">
        <f t="shared" si="16"/>
        <v>L</v>
      </c>
      <c r="X114" s="31" t="s">
        <v>702</v>
      </c>
      <c r="Y114" s="31" t="s">
        <v>14</v>
      </c>
      <c r="Z114" s="31" t="s">
        <v>23</v>
      </c>
      <c r="AA114" s="31" t="s">
        <v>1065</v>
      </c>
      <c r="AB114" s="31">
        <v>10</v>
      </c>
      <c r="AC114" s="15">
        <f t="shared" si="12"/>
        <v>10</v>
      </c>
      <c r="AD114" s="15" t="str">
        <f t="shared" si="10"/>
        <v>L</v>
      </c>
      <c r="AE114" s="31" t="s">
        <v>131</v>
      </c>
      <c r="AF114" s="31" t="s">
        <v>388</v>
      </c>
      <c r="AG114" s="33">
        <v>329</v>
      </c>
      <c r="AH114" s="33">
        <v>159</v>
      </c>
      <c r="AI114" s="33">
        <v>159</v>
      </c>
      <c r="AJ114" s="33">
        <v>133</v>
      </c>
      <c r="AK114" s="33">
        <f>+AI114-AJ114</f>
        <v>26</v>
      </c>
      <c r="AL114" s="44">
        <v>136</v>
      </c>
      <c r="AM114" s="33">
        <v>125</v>
      </c>
      <c r="AN114" s="44">
        <f>+AL114-AM114</f>
        <v>11</v>
      </c>
      <c r="AO114" s="44"/>
      <c r="AP114" s="33"/>
      <c r="AQ114" s="33"/>
      <c r="AR114" s="33"/>
      <c r="AS114" s="33">
        <v>20</v>
      </c>
      <c r="AT114" s="33"/>
      <c r="AU114" s="33"/>
      <c r="AV114" s="33"/>
      <c r="AW114" s="33">
        <v>1</v>
      </c>
      <c r="AX114" s="33"/>
      <c r="AY114" s="33"/>
      <c r="AZ114" s="33"/>
      <c r="BA114" s="33">
        <v>170</v>
      </c>
      <c r="BB114" s="33">
        <v>170</v>
      </c>
      <c r="BC114" s="33">
        <v>144</v>
      </c>
      <c r="BD114" s="33">
        <v>26</v>
      </c>
      <c r="BE114" s="44">
        <v>150</v>
      </c>
      <c r="BF114" s="33">
        <v>131</v>
      </c>
      <c r="BG114" s="44">
        <f t="shared" ref="BG114:BG119" si="17">+BE114-BF114</f>
        <v>19</v>
      </c>
      <c r="BH114" s="33"/>
      <c r="BI114" s="33"/>
      <c r="BJ114" s="33"/>
      <c r="BK114" s="33"/>
      <c r="BL114" s="33">
        <f>4+9+12+2</f>
        <v>27</v>
      </c>
      <c r="BM114" s="33"/>
      <c r="BN114" s="33"/>
      <c r="BO114" s="33"/>
      <c r="BP114" s="33">
        <v>3</v>
      </c>
      <c r="BQ114" s="33"/>
      <c r="BR114" s="33"/>
      <c r="BS114" s="33"/>
      <c r="BT114" s="33">
        <f>98+79+18+5+4+1+5+4+1+2</f>
        <v>217</v>
      </c>
      <c r="BU114" s="33">
        <f>98+79</f>
        <v>177</v>
      </c>
      <c r="BV114" s="33">
        <v>18</v>
      </c>
      <c r="BW114" s="33">
        <v>1</v>
      </c>
      <c r="BX114" s="33"/>
      <c r="BY114" s="33">
        <v>1</v>
      </c>
      <c r="BZ114" s="33">
        <v>4</v>
      </c>
      <c r="CA114" s="33"/>
      <c r="CB114" s="33"/>
      <c r="CC114" s="43"/>
      <c r="CD114" s="33"/>
      <c r="CE114" s="33"/>
      <c r="CF114" s="33"/>
      <c r="CG114" s="33"/>
      <c r="CH114" s="33"/>
      <c r="CI114" s="33"/>
      <c r="CJ114" s="33"/>
      <c r="CK114" s="33"/>
      <c r="CL114" s="33"/>
      <c r="CM114" s="33"/>
      <c r="CN114" s="35"/>
      <c r="CO114" s="35"/>
      <c r="CP114" s="35"/>
      <c r="CQ114" s="35"/>
      <c r="CR114" s="35"/>
      <c r="CS114" s="35"/>
      <c r="CT114" s="35"/>
      <c r="CU114" s="35"/>
      <c r="CV114" s="35"/>
      <c r="CW114" s="35"/>
      <c r="CX114" s="35"/>
      <c r="CY114" s="35"/>
    </row>
    <row r="115" spans="1:103" s="36" customFormat="1" x14ac:dyDescent="0.2">
      <c r="A115" s="58">
        <v>107</v>
      </c>
      <c r="B115" s="14" t="s">
        <v>1429</v>
      </c>
      <c r="C115" s="30" t="s">
        <v>79</v>
      </c>
      <c r="D115" s="31" t="s">
        <v>114</v>
      </c>
      <c r="E115" s="29"/>
      <c r="F115" s="31">
        <v>2016</v>
      </c>
      <c r="G115" s="32" t="s">
        <v>121</v>
      </c>
      <c r="H115" s="41"/>
      <c r="I115" s="31" t="s">
        <v>8</v>
      </c>
      <c r="J115" s="32" t="s">
        <v>38</v>
      </c>
      <c r="K115" s="32" t="s">
        <v>1473</v>
      </c>
      <c r="L115" s="31" t="s">
        <v>31</v>
      </c>
      <c r="M115" s="31" t="s">
        <v>333</v>
      </c>
      <c r="N115" s="31" t="s">
        <v>201</v>
      </c>
      <c r="O115" s="31" t="s">
        <v>404</v>
      </c>
      <c r="P115" s="15" t="s">
        <v>285</v>
      </c>
      <c r="Q115" s="32" t="s">
        <v>313</v>
      </c>
      <c r="R115" s="32" t="s">
        <v>116</v>
      </c>
      <c r="S115" s="31" t="s">
        <v>115</v>
      </c>
      <c r="T115" s="31" t="s">
        <v>240</v>
      </c>
      <c r="U115" s="31">
        <v>5</v>
      </c>
      <c r="V115" s="57">
        <f t="shared" si="11"/>
        <v>5</v>
      </c>
      <c r="W115" s="57" t="str">
        <f t="shared" si="16"/>
        <v>S</v>
      </c>
      <c r="X115" s="31" t="s">
        <v>16</v>
      </c>
      <c r="Y115" s="31" t="s">
        <v>14</v>
      </c>
      <c r="Z115" s="31" t="s">
        <v>40</v>
      </c>
      <c r="AA115" s="31" t="s">
        <v>240</v>
      </c>
      <c r="AB115" s="31">
        <v>7</v>
      </c>
      <c r="AC115" s="15">
        <f t="shared" si="12"/>
        <v>7</v>
      </c>
      <c r="AD115" s="15" t="str">
        <f t="shared" si="10"/>
        <v>L</v>
      </c>
      <c r="AE115" s="31" t="s">
        <v>13</v>
      </c>
      <c r="AF115" s="31" t="s">
        <v>14</v>
      </c>
      <c r="AG115" s="33">
        <v>860</v>
      </c>
      <c r="AH115" s="33">
        <v>426</v>
      </c>
      <c r="AI115" s="33">
        <v>426</v>
      </c>
      <c r="AJ115" s="33">
        <v>333</v>
      </c>
      <c r="AK115" s="33">
        <f>+AI115-AJ115</f>
        <v>93</v>
      </c>
      <c r="AL115" s="44">
        <v>403</v>
      </c>
      <c r="AM115" s="33">
        <v>326</v>
      </c>
      <c r="AN115" s="44">
        <f>+AL115-AM115</f>
        <v>77</v>
      </c>
      <c r="AO115" s="44">
        <f>28+14+37+11+5+7+18</f>
        <v>120</v>
      </c>
      <c r="AP115" s="33">
        <f>17+4+4+10+33+9+21</f>
        <v>98</v>
      </c>
      <c r="AQ115" s="33">
        <f>+AO115-AP115</f>
        <v>22</v>
      </c>
      <c r="AR115" s="33"/>
      <c r="AS115" s="33">
        <v>155</v>
      </c>
      <c r="AT115" s="33"/>
      <c r="AU115" s="33"/>
      <c r="AV115" s="33"/>
      <c r="AW115" s="33">
        <v>6</v>
      </c>
      <c r="AX115" s="33"/>
      <c r="AY115" s="33"/>
      <c r="AZ115" s="33"/>
      <c r="BA115" s="33">
        <v>434</v>
      </c>
      <c r="BB115" s="33">
        <v>434</v>
      </c>
      <c r="BC115" s="33">
        <v>338</v>
      </c>
      <c r="BD115" s="33">
        <v>96</v>
      </c>
      <c r="BE115" s="44">
        <v>407</v>
      </c>
      <c r="BF115" s="33">
        <v>330</v>
      </c>
      <c r="BG115" s="44">
        <f t="shared" si="17"/>
        <v>77</v>
      </c>
      <c r="BH115" s="33">
        <f>37+7+26+4+3+3+22</f>
        <v>102</v>
      </c>
      <c r="BI115" s="33">
        <f>18+2+1+4+21+5+30</f>
        <v>81</v>
      </c>
      <c r="BJ115" s="33">
        <f>+BH115-BI115</f>
        <v>21</v>
      </c>
      <c r="BK115" s="33"/>
      <c r="BL115" s="33">
        <v>154</v>
      </c>
      <c r="BM115" s="33"/>
      <c r="BN115" s="33"/>
      <c r="BO115" s="33"/>
      <c r="BP115" s="33">
        <v>6</v>
      </c>
      <c r="BQ115" s="33"/>
      <c r="BR115" s="33"/>
      <c r="BS115" s="33"/>
      <c r="BT115" s="33">
        <v>589</v>
      </c>
      <c r="BU115" s="33">
        <f>96+102</f>
        <v>198</v>
      </c>
      <c r="BV115" s="33">
        <f>80+55</f>
        <v>135</v>
      </c>
      <c r="BW115" s="33">
        <v>12</v>
      </c>
      <c r="BX115" s="33">
        <v>4</v>
      </c>
      <c r="BY115" s="33">
        <f>22+14</f>
        <v>36</v>
      </c>
      <c r="BZ115" s="33">
        <f>37+42+61+64</f>
        <v>204</v>
      </c>
      <c r="CA115" s="33">
        <v>20</v>
      </c>
      <c r="CB115" s="33">
        <v>20</v>
      </c>
      <c r="CC115" s="43"/>
      <c r="CD115" s="33"/>
      <c r="CE115" s="33"/>
      <c r="CF115" s="33"/>
      <c r="CG115" s="33"/>
      <c r="CH115" s="33"/>
      <c r="CI115" s="33"/>
      <c r="CJ115" s="33"/>
      <c r="CK115" s="33"/>
      <c r="CL115" s="33"/>
      <c r="CM115" s="33"/>
      <c r="CN115" s="35"/>
      <c r="CO115" s="35"/>
      <c r="CP115" s="35"/>
      <c r="CQ115" s="35"/>
      <c r="CR115" s="35"/>
      <c r="CS115" s="35"/>
      <c r="CT115" s="35"/>
      <c r="CU115" s="35"/>
      <c r="CV115" s="35"/>
      <c r="CW115" s="35"/>
      <c r="CX115" s="35"/>
      <c r="CY115" s="35"/>
    </row>
    <row r="116" spans="1:103" s="36" customFormat="1" x14ac:dyDescent="0.2">
      <c r="A116" s="58">
        <v>108</v>
      </c>
      <c r="B116" s="30" t="s">
        <v>1429</v>
      </c>
      <c r="C116" s="30" t="s">
        <v>79</v>
      </c>
      <c r="D116" s="31" t="s">
        <v>62</v>
      </c>
      <c r="E116" s="29" t="s">
        <v>384</v>
      </c>
      <c r="F116" s="31">
        <v>1995</v>
      </c>
      <c r="G116" s="32" t="s">
        <v>400</v>
      </c>
      <c r="H116" s="41" t="s">
        <v>401</v>
      </c>
      <c r="I116" s="31" t="s">
        <v>8</v>
      </c>
      <c r="J116" s="31" t="s">
        <v>64</v>
      </c>
      <c r="K116" s="31" t="s">
        <v>366</v>
      </c>
      <c r="L116" s="15" t="s">
        <v>68</v>
      </c>
      <c r="M116" s="15" t="s">
        <v>25</v>
      </c>
      <c r="N116" s="31" t="s">
        <v>201</v>
      </c>
      <c r="O116" s="31" t="s">
        <v>404</v>
      </c>
      <c r="P116" s="31" t="s">
        <v>285</v>
      </c>
      <c r="Q116" s="32" t="s">
        <v>313</v>
      </c>
      <c r="R116" s="32" t="s">
        <v>403</v>
      </c>
      <c r="S116" s="31" t="s">
        <v>50</v>
      </c>
      <c r="T116" s="31" t="s">
        <v>405</v>
      </c>
      <c r="U116" s="31">
        <v>5</v>
      </c>
      <c r="V116" s="57">
        <f t="shared" si="11"/>
        <v>5</v>
      </c>
      <c r="W116" s="57" t="str">
        <f t="shared" si="16"/>
        <v>S</v>
      </c>
      <c r="X116" s="31" t="s">
        <v>16</v>
      </c>
      <c r="Y116" s="31" t="s">
        <v>14</v>
      </c>
      <c r="Z116" s="31" t="s">
        <v>256</v>
      </c>
      <c r="AA116" s="31" t="s">
        <v>1066</v>
      </c>
      <c r="AB116" s="31">
        <v>5</v>
      </c>
      <c r="AC116" s="15">
        <f t="shared" si="12"/>
        <v>5</v>
      </c>
      <c r="AD116" s="15" t="str">
        <f t="shared" si="10"/>
        <v>S</v>
      </c>
      <c r="AE116" s="31" t="s">
        <v>131</v>
      </c>
      <c r="AF116" s="31" t="s">
        <v>388</v>
      </c>
      <c r="AG116" s="33">
        <f>35+29</f>
        <v>64</v>
      </c>
      <c r="AH116" s="33">
        <v>35</v>
      </c>
      <c r="AI116" s="33">
        <v>35</v>
      </c>
      <c r="AJ116" s="33">
        <v>29</v>
      </c>
      <c r="AK116" s="33">
        <v>6</v>
      </c>
      <c r="AL116" s="44">
        <v>35</v>
      </c>
      <c r="AM116" s="33">
        <v>29</v>
      </c>
      <c r="AN116" s="44">
        <v>6</v>
      </c>
      <c r="AO116" s="44"/>
      <c r="AP116" s="33"/>
      <c r="AQ116" s="33"/>
      <c r="AR116" s="33"/>
      <c r="AS116" s="33">
        <v>7</v>
      </c>
      <c r="AT116" s="33"/>
      <c r="AU116" s="33"/>
      <c r="AV116" s="33"/>
      <c r="AW116" s="33"/>
      <c r="AX116" s="33"/>
      <c r="AY116" s="33"/>
      <c r="AZ116" s="33"/>
      <c r="BA116" s="33">
        <v>29</v>
      </c>
      <c r="BB116" s="33">
        <v>29</v>
      </c>
      <c r="BC116" s="33">
        <v>19</v>
      </c>
      <c r="BD116" s="33">
        <v>10</v>
      </c>
      <c r="BE116" s="44">
        <v>29</v>
      </c>
      <c r="BF116" s="33">
        <v>19</v>
      </c>
      <c r="BG116" s="44">
        <f t="shared" si="17"/>
        <v>10</v>
      </c>
      <c r="BH116" s="33"/>
      <c r="BI116" s="33"/>
      <c r="BJ116" s="33"/>
      <c r="BK116" s="33"/>
      <c r="BL116" s="33">
        <v>0</v>
      </c>
      <c r="BM116" s="33"/>
      <c r="BN116" s="33"/>
      <c r="BO116" s="33"/>
      <c r="BP116" s="33"/>
      <c r="BQ116" s="33"/>
      <c r="BR116" s="33"/>
      <c r="BS116" s="33"/>
      <c r="BT116" s="33">
        <f>27+11</f>
        <v>38</v>
      </c>
      <c r="BU116" s="33">
        <f>14+7</f>
        <v>21</v>
      </c>
      <c r="BV116" s="33">
        <v>2</v>
      </c>
      <c r="BW116" s="33"/>
      <c r="BX116" s="33"/>
      <c r="BY116" s="33">
        <v>3</v>
      </c>
      <c r="BZ116" s="33">
        <v>4</v>
      </c>
      <c r="CA116" s="33"/>
      <c r="CB116" s="33"/>
      <c r="CC116" s="33" t="s">
        <v>444</v>
      </c>
      <c r="CD116" s="33"/>
      <c r="CE116" s="33"/>
      <c r="CF116" s="33"/>
      <c r="CG116" s="33"/>
      <c r="CH116" s="33"/>
      <c r="CI116" s="33"/>
      <c r="CJ116" s="33"/>
      <c r="CK116" s="33"/>
      <c r="CL116" s="33"/>
      <c r="CM116" s="33"/>
      <c r="CN116" s="35"/>
      <c r="CO116" s="35"/>
      <c r="CP116" s="35"/>
      <c r="CQ116" s="35"/>
      <c r="CR116" s="35"/>
      <c r="CS116" s="35"/>
      <c r="CT116" s="35"/>
      <c r="CU116" s="35"/>
      <c r="CV116" s="35"/>
      <c r="CW116" s="35"/>
      <c r="CX116" s="35"/>
      <c r="CY116" s="35"/>
    </row>
    <row r="117" spans="1:103" s="36" customFormat="1" x14ac:dyDescent="0.2">
      <c r="A117" s="58">
        <v>108</v>
      </c>
      <c r="B117" s="30" t="s">
        <v>1430</v>
      </c>
      <c r="C117" s="30" t="s">
        <v>79</v>
      </c>
      <c r="D117" s="31" t="s">
        <v>62</v>
      </c>
      <c r="E117" s="29" t="s">
        <v>384</v>
      </c>
      <c r="F117" s="31">
        <v>1995</v>
      </c>
      <c r="G117" s="32" t="s">
        <v>400</v>
      </c>
      <c r="H117" s="41" t="s">
        <v>401</v>
      </c>
      <c r="I117" s="31" t="s">
        <v>8</v>
      </c>
      <c r="J117" s="31" t="s">
        <v>64</v>
      </c>
      <c r="K117" s="31" t="s">
        <v>366</v>
      </c>
      <c r="L117" s="15" t="s">
        <v>68</v>
      </c>
      <c r="M117" s="15" t="s">
        <v>25</v>
      </c>
      <c r="N117" s="31" t="s">
        <v>201</v>
      </c>
      <c r="O117" s="31" t="s">
        <v>404</v>
      </c>
      <c r="P117" s="31" t="s">
        <v>285</v>
      </c>
      <c r="Q117" s="32" t="s">
        <v>313</v>
      </c>
      <c r="R117" s="32" t="s">
        <v>403</v>
      </c>
      <c r="S117" s="31" t="s">
        <v>50</v>
      </c>
      <c r="T117" s="31" t="s">
        <v>405</v>
      </c>
      <c r="U117" s="31">
        <v>5</v>
      </c>
      <c r="V117" s="57">
        <f t="shared" si="11"/>
        <v>5</v>
      </c>
      <c r="W117" s="57" t="str">
        <f t="shared" si="16"/>
        <v>S</v>
      </c>
      <c r="X117" s="31" t="s">
        <v>16</v>
      </c>
      <c r="Y117" s="31" t="s">
        <v>14</v>
      </c>
      <c r="Z117" s="31" t="s">
        <v>198</v>
      </c>
      <c r="AA117" s="31" t="s">
        <v>1067</v>
      </c>
      <c r="AB117" s="31">
        <v>10</v>
      </c>
      <c r="AC117" s="15">
        <f t="shared" si="12"/>
        <v>10</v>
      </c>
      <c r="AD117" s="15" t="str">
        <f t="shared" si="10"/>
        <v>L</v>
      </c>
      <c r="AE117" s="31" t="s">
        <v>16</v>
      </c>
      <c r="AF117" s="31" t="s">
        <v>14</v>
      </c>
      <c r="AG117" s="33">
        <f>+AH117+BA117</f>
        <v>40</v>
      </c>
      <c r="AH117" s="33">
        <v>19</v>
      </c>
      <c r="AI117" s="33">
        <v>19</v>
      </c>
      <c r="AJ117" s="33">
        <v>15</v>
      </c>
      <c r="AK117" s="33">
        <v>4</v>
      </c>
      <c r="AL117" s="44">
        <v>19</v>
      </c>
      <c r="AM117" s="33">
        <v>15</v>
      </c>
      <c r="AN117" s="44">
        <v>4</v>
      </c>
      <c r="AO117" s="44"/>
      <c r="AP117" s="33"/>
      <c r="AQ117" s="33"/>
      <c r="AR117" s="33"/>
      <c r="AS117" s="33">
        <v>3</v>
      </c>
      <c r="AT117" s="33"/>
      <c r="AU117" s="33"/>
      <c r="AV117" s="33"/>
      <c r="AW117" s="33"/>
      <c r="AX117" s="33"/>
      <c r="AY117" s="33"/>
      <c r="AZ117" s="33"/>
      <c r="BA117" s="33">
        <v>21</v>
      </c>
      <c r="BB117" s="33">
        <v>21</v>
      </c>
      <c r="BC117" s="33">
        <v>16</v>
      </c>
      <c r="BD117" s="33">
        <v>5</v>
      </c>
      <c r="BE117" s="44">
        <v>21</v>
      </c>
      <c r="BF117" s="33">
        <v>16</v>
      </c>
      <c r="BG117" s="44">
        <f t="shared" si="17"/>
        <v>5</v>
      </c>
      <c r="BH117" s="33"/>
      <c r="BI117" s="33"/>
      <c r="BJ117" s="33"/>
      <c r="BK117" s="33"/>
      <c r="BL117" s="33">
        <v>4</v>
      </c>
      <c r="BM117" s="33"/>
      <c r="BN117" s="33"/>
      <c r="BO117" s="33"/>
      <c r="BP117" s="33"/>
      <c r="BQ117" s="33"/>
      <c r="BR117" s="33"/>
      <c r="BS117" s="33"/>
      <c r="BT117" s="33">
        <f>6+12</f>
        <v>18</v>
      </c>
      <c r="BU117" s="33">
        <v>5</v>
      </c>
      <c r="BV117" s="33">
        <v>1</v>
      </c>
      <c r="BW117" s="33"/>
      <c r="BX117" s="33"/>
      <c r="BY117" s="33">
        <v>0</v>
      </c>
      <c r="BZ117" s="33">
        <v>4</v>
      </c>
      <c r="CA117" s="33"/>
      <c r="CB117" s="33"/>
      <c r="CC117" s="33" t="s">
        <v>444</v>
      </c>
      <c r="CD117" s="33"/>
      <c r="CE117" s="33"/>
      <c r="CF117" s="33"/>
      <c r="CG117" s="33"/>
      <c r="CH117" s="33"/>
      <c r="CI117" s="33"/>
      <c r="CJ117" s="33"/>
      <c r="CK117" s="33"/>
      <c r="CL117" s="33"/>
      <c r="CM117" s="33"/>
      <c r="CN117" s="35"/>
      <c r="CO117" s="35"/>
      <c r="CP117" s="35"/>
      <c r="CQ117" s="35"/>
      <c r="CR117" s="35"/>
      <c r="CS117" s="35"/>
      <c r="CT117" s="35"/>
      <c r="CU117" s="35"/>
      <c r="CV117" s="35"/>
      <c r="CW117" s="35"/>
      <c r="CX117" s="35"/>
      <c r="CY117" s="35"/>
    </row>
    <row r="118" spans="1:103" s="36" customFormat="1" x14ac:dyDescent="0.2">
      <c r="A118" s="58">
        <v>109</v>
      </c>
      <c r="B118" s="14" t="s">
        <v>1429</v>
      </c>
      <c r="C118" s="30" t="s">
        <v>79</v>
      </c>
      <c r="D118" s="31" t="s">
        <v>204</v>
      </c>
      <c r="E118" s="29"/>
      <c r="F118" s="31">
        <v>1992</v>
      </c>
      <c r="G118" s="32" t="s">
        <v>208</v>
      </c>
      <c r="H118" s="41"/>
      <c r="I118" s="31" t="s">
        <v>8</v>
      </c>
      <c r="J118" s="31" t="s">
        <v>66</v>
      </c>
      <c r="K118" s="31" t="s">
        <v>366</v>
      </c>
      <c r="L118" s="31" t="s">
        <v>31</v>
      </c>
      <c r="M118" s="15" t="s">
        <v>25</v>
      </c>
      <c r="N118" s="31" t="s">
        <v>201</v>
      </c>
      <c r="O118" s="31" t="s">
        <v>404</v>
      </c>
      <c r="P118" s="31" t="s">
        <v>285</v>
      </c>
      <c r="Q118" s="32" t="s">
        <v>313</v>
      </c>
      <c r="R118" s="32" t="s">
        <v>352</v>
      </c>
      <c r="S118" s="31" t="s">
        <v>207</v>
      </c>
      <c r="T118" s="31" t="s">
        <v>1064</v>
      </c>
      <c r="U118" s="31">
        <v>10</v>
      </c>
      <c r="V118" s="57">
        <f t="shared" si="11"/>
        <v>10</v>
      </c>
      <c r="W118" s="57" t="str">
        <f t="shared" si="16"/>
        <v>L</v>
      </c>
      <c r="X118" s="31" t="s">
        <v>13</v>
      </c>
      <c r="Y118" s="31" t="s">
        <v>14</v>
      </c>
      <c r="Z118" s="31" t="s">
        <v>23</v>
      </c>
      <c r="AA118" s="31" t="s">
        <v>903</v>
      </c>
      <c r="AB118" s="31">
        <v>10</v>
      </c>
      <c r="AC118" s="15">
        <f t="shared" si="12"/>
        <v>10</v>
      </c>
      <c r="AD118" s="15" t="str">
        <f t="shared" si="10"/>
        <v>L</v>
      </c>
      <c r="AE118" s="31" t="s">
        <v>131</v>
      </c>
      <c r="AF118" s="31" t="s">
        <v>388</v>
      </c>
      <c r="AG118" s="33">
        <f>123+115</f>
        <v>238</v>
      </c>
      <c r="AH118" s="33">
        <v>123</v>
      </c>
      <c r="AI118" s="33">
        <v>123</v>
      </c>
      <c r="AJ118" s="33">
        <v>104</v>
      </c>
      <c r="AK118" s="33">
        <f>+AI118-AJ118</f>
        <v>19</v>
      </c>
      <c r="AL118" s="44">
        <v>123</v>
      </c>
      <c r="AM118" s="33">
        <v>104</v>
      </c>
      <c r="AN118" s="44">
        <f>+AL118-AM118</f>
        <v>19</v>
      </c>
      <c r="AO118" s="44">
        <v>94</v>
      </c>
      <c r="AP118" s="33">
        <v>92</v>
      </c>
      <c r="AQ118" s="33">
        <v>2</v>
      </c>
      <c r="AR118" s="33"/>
      <c r="AS118" s="33">
        <v>30</v>
      </c>
      <c r="AT118" s="33"/>
      <c r="AU118" s="33"/>
      <c r="AV118" s="33"/>
      <c r="AW118" s="33">
        <v>0</v>
      </c>
      <c r="AX118" s="33"/>
      <c r="AY118" s="33"/>
      <c r="AZ118" s="33"/>
      <c r="BA118" s="33"/>
      <c r="BB118" s="33">
        <v>120</v>
      </c>
      <c r="BC118" s="33">
        <v>96</v>
      </c>
      <c r="BD118" s="33">
        <v>24</v>
      </c>
      <c r="BE118" s="44">
        <v>120</v>
      </c>
      <c r="BF118" s="33">
        <v>96</v>
      </c>
      <c r="BG118" s="44">
        <f t="shared" si="17"/>
        <v>24</v>
      </c>
      <c r="BH118" s="33">
        <v>73</v>
      </c>
      <c r="BI118" s="33">
        <v>70</v>
      </c>
      <c r="BJ118" s="33">
        <v>3</v>
      </c>
      <c r="BK118" s="33"/>
      <c r="BL118" s="33">
        <v>19</v>
      </c>
      <c r="BM118" s="33"/>
      <c r="BN118" s="33"/>
      <c r="BO118" s="33"/>
      <c r="BP118" s="33">
        <v>1</v>
      </c>
      <c r="BQ118" s="33"/>
      <c r="BR118" s="33"/>
      <c r="BS118" s="33"/>
      <c r="BT118" s="33">
        <f>105+56+10+5+10+11+1+21+12</f>
        <v>231</v>
      </c>
      <c r="BU118" s="33">
        <v>105</v>
      </c>
      <c r="BV118" s="33">
        <v>56</v>
      </c>
      <c r="BW118" s="33"/>
      <c r="BX118" s="33"/>
      <c r="BY118" s="33">
        <v>5</v>
      </c>
      <c r="BZ118" s="33">
        <v>8</v>
      </c>
      <c r="CA118" s="33"/>
      <c r="CB118" s="33"/>
      <c r="CC118" s="33"/>
      <c r="CD118" s="33"/>
      <c r="CE118" s="33"/>
      <c r="CF118" s="33"/>
      <c r="CG118" s="33"/>
      <c r="CH118" s="33"/>
      <c r="CI118" s="33"/>
      <c r="CJ118" s="33"/>
      <c r="CK118" s="33"/>
      <c r="CL118" s="33"/>
      <c r="CM118" s="33"/>
      <c r="CN118" s="35"/>
      <c r="CO118" s="35"/>
      <c r="CP118" s="35"/>
      <c r="CQ118" s="35"/>
      <c r="CR118" s="35"/>
      <c r="CS118" s="35"/>
      <c r="CT118" s="35"/>
      <c r="CU118" s="35"/>
      <c r="CV118" s="35"/>
      <c r="CW118" s="35"/>
      <c r="CX118" s="35"/>
      <c r="CY118" s="35"/>
    </row>
    <row r="119" spans="1:103" s="36" customFormat="1" x14ac:dyDescent="0.2">
      <c r="A119" s="58">
        <v>110</v>
      </c>
      <c r="B119" s="14" t="s">
        <v>1429</v>
      </c>
      <c r="C119" s="30" t="s">
        <v>79</v>
      </c>
      <c r="D119" s="31" t="s">
        <v>297</v>
      </c>
      <c r="E119" s="29"/>
      <c r="F119" s="31">
        <v>1997</v>
      </c>
      <c r="G119" s="32" t="s">
        <v>298</v>
      </c>
      <c r="H119" s="41"/>
      <c r="I119" s="31" t="s">
        <v>8</v>
      </c>
      <c r="J119" s="31" t="s">
        <v>189</v>
      </c>
      <c r="K119" s="31" t="s">
        <v>366</v>
      </c>
      <c r="L119" s="15" t="s">
        <v>68</v>
      </c>
      <c r="M119" s="15" t="s">
        <v>25</v>
      </c>
      <c r="N119" s="31" t="s">
        <v>201</v>
      </c>
      <c r="O119" s="31" t="s">
        <v>404</v>
      </c>
      <c r="P119" s="31" t="s">
        <v>285</v>
      </c>
      <c r="Q119" s="32" t="s">
        <v>313</v>
      </c>
      <c r="R119" s="32" t="s">
        <v>355</v>
      </c>
      <c r="S119" s="31" t="s">
        <v>54</v>
      </c>
      <c r="T119" s="31" t="s">
        <v>357</v>
      </c>
      <c r="U119" s="31" t="s">
        <v>1068</v>
      </c>
      <c r="V119" s="57">
        <v>14</v>
      </c>
      <c r="W119" s="57" t="str">
        <f t="shared" si="16"/>
        <v>L</v>
      </c>
      <c r="X119" s="31" t="s">
        <v>16</v>
      </c>
      <c r="Y119" s="31" t="s">
        <v>14</v>
      </c>
      <c r="Z119" s="31" t="s">
        <v>531</v>
      </c>
      <c r="AA119" s="31" t="s">
        <v>356</v>
      </c>
      <c r="AB119" s="31" t="s">
        <v>1068</v>
      </c>
      <c r="AC119" s="15">
        <v>14</v>
      </c>
      <c r="AD119" s="15" t="str">
        <f t="shared" si="10"/>
        <v>L</v>
      </c>
      <c r="AE119" s="31" t="s">
        <v>131</v>
      </c>
      <c r="AF119" s="31" t="s">
        <v>388</v>
      </c>
      <c r="AG119" s="33">
        <v>112</v>
      </c>
      <c r="AH119" s="33">
        <v>56</v>
      </c>
      <c r="AI119" s="33">
        <v>56</v>
      </c>
      <c r="AJ119" s="33">
        <v>48</v>
      </c>
      <c r="AK119" s="33">
        <v>8</v>
      </c>
      <c r="AL119" s="44">
        <v>56</v>
      </c>
      <c r="AM119" s="33">
        <v>48</v>
      </c>
      <c r="AN119" s="44">
        <v>8</v>
      </c>
      <c r="AO119" s="44"/>
      <c r="AP119" s="33"/>
      <c r="AQ119" s="33"/>
      <c r="AR119" s="33"/>
      <c r="AS119" s="33">
        <v>19</v>
      </c>
      <c r="AT119" s="33"/>
      <c r="AU119" s="33"/>
      <c r="AV119" s="33"/>
      <c r="AW119" s="33">
        <v>1</v>
      </c>
      <c r="AX119" s="33"/>
      <c r="AY119" s="33"/>
      <c r="AZ119" s="33"/>
      <c r="BA119" s="33">
        <v>56</v>
      </c>
      <c r="BB119" s="33">
        <v>56</v>
      </c>
      <c r="BC119" s="33">
        <v>47</v>
      </c>
      <c r="BD119" s="33">
        <v>9</v>
      </c>
      <c r="BE119" s="44">
        <v>56</v>
      </c>
      <c r="BF119" s="33">
        <v>47</v>
      </c>
      <c r="BG119" s="44">
        <f t="shared" si="17"/>
        <v>9</v>
      </c>
      <c r="BH119" s="33"/>
      <c r="BI119" s="33"/>
      <c r="BJ119" s="33"/>
      <c r="BK119" s="33"/>
      <c r="BL119" s="33">
        <v>12</v>
      </c>
      <c r="BM119" s="33"/>
      <c r="BN119" s="33"/>
      <c r="BO119" s="33"/>
      <c r="BP119" s="33">
        <v>1</v>
      </c>
      <c r="BQ119" s="33"/>
      <c r="BR119" s="33"/>
      <c r="BS119" s="33"/>
      <c r="BT119" s="33">
        <f>47+30</f>
        <v>77</v>
      </c>
      <c r="BU119" s="33">
        <v>34</v>
      </c>
      <c r="BV119" s="33">
        <v>14</v>
      </c>
      <c r="BW119" s="33">
        <v>2</v>
      </c>
      <c r="BX119" s="33">
        <v>0</v>
      </c>
      <c r="BY119" s="33">
        <v>3</v>
      </c>
      <c r="BZ119" s="33">
        <v>17</v>
      </c>
      <c r="CA119" s="33"/>
      <c r="CB119" s="33"/>
      <c r="CC119" s="33"/>
      <c r="CD119" s="33"/>
      <c r="CE119" s="33"/>
      <c r="CF119" s="33"/>
      <c r="CG119" s="33"/>
      <c r="CH119" s="33"/>
      <c r="CI119" s="33"/>
      <c r="CJ119" s="33"/>
      <c r="CK119" s="33"/>
      <c r="CL119" s="33"/>
      <c r="CM119" s="33"/>
      <c r="CN119" s="35"/>
      <c r="CO119" s="35"/>
      <c r="CP119" s="35"/>
      <c r="CQ119" s="35"/>
      <c r="CR119" s="35"/>
      <c r="CS119" s="35"/>
      <c r="CT119" s="35"/>
      <c r="CU119" s="35"/>
      <c r="CV119" s="35"/>
      <c r="CW119" s="35"/>
      <c r="CX119" s="35"/>
      <c r="CY119" s="35"/>
    </row>
    <row r="120" spans="1:103" s="36" customFormat="1" x14ac:dyDescent="0.2">
      <c r="A120" s="58">
        <v>111</v>
      </c>
      <c r="B120" s="14" t="s">
        <v>1429</v>
      </c>
      <c r="C120" s="30" t="s">
        <v>79</v>
      </c>
      <c r="D120" s="31" t="s">
        <v>1022</v>
      </c>
      <c r="E120" s="29"/>
      <c r="F120" s="31">
        <v>2022</v>
      </c>
      <c r="G120" s="32" t="s">
        <v>1058</v>
      </c>
      <c r="H120" s="41" t="s">
        <v>1060</v>
      </c>
      <c r="I120" s="31" t="s">
        <v>8</v>
      </c>
      <c r="J120" s="31" t="s">
        <v>1059</v>
      </c>
      <c r="K120" s="31" t="s">
        <v>366</v>
      </c>
      <c r="L120" s="15" t="s">
        <v>68</v>
      </c>
      <c r="M120" s="15" t="s">
        <v>25</v>
      </c>
      <c r="N120" s="31" t="s">
        <v>201</v>
      </c>
      <c r="O120" s="31" t="s">
        <v>404</v>
      </c>
      <c r="P120" s="31" t="s">
        <v>285</v>
      </c>
      <c r="Q120" s="32" t="s">
        <v>313</v>
      </c>
      <c r="R120" s="32"/>
      <c r="S120" s="31" t="s">
        <v>1069</v>
      </c>
      <c r="T120" s="31" t="s">
        <v>1071</v>
      </c>
      <c r="U120" s="31" t="s">
        <v>1070</v>
      </c>
      <c r="V120" s="57">
        <v>7</v>
      </c>
      <c r="W120" s="57" t="str">
        <f t="shared" si="16"/>
        <v>L</v>
      </c>
      <c r="X120" s="31" t="s">
        <v>13</v>
      </c>
      <c r="Y120" s="31" t="s">
        <v>14</v>
      </c>
      <c r="Z120" s="31" t="s">
        <v>40</v>
      </c>
      <c r="AA120" s="31" t="s">
        <v>240</v>
      </c>
      <c r="AB120" s="31" t="s">
        <v>1070</v>
      </c>
      <c r="AC120" s="15">
        <v>8</v>
      </c>
      <c r="AD120" s="15" t="str">
        <f t="shared" si="10"/>
        <v>L</v>
      </c>
      <c r="AE120" s="31" t="s">
        <v>13</v>
      </c>
      <c r="AF120" s="31" t="s">
        <v>14</v>
      </c>
      <c r="AG120" s="33">
        <f>51+47</f>
        <v>98</v>
      </c>
      <c r="AH120" s="33">
        <v>51</v>
      </c>
      <c r="AI120" s="33">
        <v>47</v>
      </c>
      <c r="AJ120" s="33">
        <f>0.957*AI120</f>
        <v>44.978999999999999</v>
      </c>
      <c r="AK120" s="33">
        <v>2</v>
      </c>
      <c r="AL120" s="44">
        <v>51</v>
      </c>
      <c r="AM120" s="33">
        <v>48</v>
      </c>
      <c r="AN120" s="44">
        <v>3</v>
      </c>
      <c r="AO120" s="44"/>
      <c r="AP120" s="33"/>
      <c r="AQ120" s="33"/>
      <c r="AR120" s="33"/>
      <c r="AS120" s="33"/>
      <c r="AT120" s="33"/>
      <c r="AU120" s="33"/>
      <c r="AV120" s="33"/>
      <c r="AW120" s="33"/>
      <c r="AX120" s="33"/>
      <c r="AY120" s="33"/>
      <c r="AZ120" s="33"/>
      <c r="BA120" s="33">
        <v>47</v>
      </c>
      <c r="BB120" s="33">
        <v>47</v>
      </c>
      <c r="BC120" s="33">
        <f>0.957*BB120</f>
        <v>44.978999999999999</v>
      </c>
      <c r="BD120" s="33">
        <v>2</v>
      </c>
      <c r="BE120" s="44">
        <v>47</v>
      </c>
      <c r="BF120" s="33">
        <v>45</v>
      </c>
      <c r="BG120" s="44">
        <v>2</v>
      </c>
      <c r="BH120" s="33"/>
      <c r="BI120" s="33"/>
      <c r="BJ120" s="33"/>
      <c r="BK120" s="33"/>
      <c r="BL120" s="33"/>
      <c r="BM120" s="33"/>
      <c r="BN120" s="33"/>
      <c r="BO120" s="33"/>
      <c r="BP120" s="33"/>
      <c r="BQ120" s="33"/>
      <c r="BR120" s="33"/>
      <c r="BS120" s="33"/>
      <c r="BT120" s="33">
        <v>189</v>
      </c>
      <c r="BU120" s="33">
        <v>36</v>
      </c>
      <c r="BV120" s="33">
        <v>25</v>
      </c>
      <c r="BW120" s="33">
        <v>19</v>
      </c>
      <c r="BX120" s="33">
        <v>6</v>
      </c>
      <c r="BY120" s="33">
        <v>20</v>
      </c>
      <c r="BZ120" s="33">
        <v>29</v>
      </c>
      <c r="CA120" s="33"/>
      <c r="CB120" s="33"/>
      <c r="CC120" s="33"/>
      <c r="CD120" s="33"/>
      <c r="CE120" s="33"/>
      <c r="CF120" s="33"/>
      <c r="CG120" s="33"/>
      <c r="CH120" s="33"/>
      <c r="CI120" s="33"/>
      <c r="CJ120" s="33"/>
      <c r="CK120" s="33"/>
      <c r="CL120" s="33"/>
      <c r="CM120" s="33"/>
      <c r="CN120" s="35"/>
      <c r="CO120" s="35"/>
      <c r="CP120" s="35"/>
      <c r="CQ120" s="35"/>
      <c r="CR120" s="35"/>
      <c r="CS120" s="35"/>
      <c r="CT120" s="35"/>
      <c r="CU120" s="35"/>
      <c r="CV120" s="35"/>
      <c r="CW120" s="35"/>
      <c r="CX120" s="35"/>
      <c r="CY120" s="35"/>
    </row>
    <row r="121" spans="1:103" s="36" customFormat="1" x14ac:dyDescent="0.2">
      <c r="A121" s="58">
        <v>112</v>
      </c>
      <c r="B121" s="14" t="s">
        <v>1429</v>
      </c>
      <c r="C121" s="30" t="s">
        <v>79</v>
      </c>
      <c r="D121" s="31" t="s">
        <v>74</v>
      </c>
      <c r="E121" s="29" t="s">
        <v>384</v>
      </c>
      <c r="F121" s="31">
        <v>2004</v>
      </c>
      <c r="G121" s="32" t="s">
        <v>1074</v>
      </c>
      <c r="H121" s="41"/>
      <c r="I121" s="31" t="s">
        <v>8</v>
      </c>
      <c r="J121" s="31" t="s">
        <v>337</v>
      </c>
      <c r="K121" s="31" t="s">
        <v>1473</v>
      </c>
      <c r="L121" s="31" t="s">
        <v>31</v>
      </c>
      <c r="M121" s="31" t="s">
        <v>333</v>
      </c>
      <c r="N121" s="31" t="s">
        <v>201</v>
      </c>
      <c r="O121" s="31" t="s">
        <v>404</v>
      </c>
      <c r="P121" s="31" t="s">
        <v>333</v>
      </c>
      <c r="Q121" s="32" t="s">
        <v>313</v>
      </c>
      <c r="R121" s="32" t="s">
        <v>338</v>
      </c>
      <c r="S121" s="31" t="s">
        <v>24</v>
      </c>
      <c r="T121" s="31" t="s">
        <v>445</v>
      </c>
      <c r="U121" s="31">
        <v>7</v>
      </c>
      <c r="V121" s="57">
        <f t="shared" si="11"/>
        <v>7</v>
      </c>
      <c r="W121" s="57" t="str">
        <f t="shared" si="16"/>
        <v>L</v>
      </c>
      <c r="X121" s="31" t="s">
        <v>13</v>
      </c>
      <c r="Y121" s="31" t="s">
        <v>14</v>
      </c>
      <c r="Z121" s="31" t="s">
        <v>531</v>
      </c>
      <c r="AA121" s="31" t="s">
        <v>1073</v>
      </c>
      <c r="AB121" s="31">
        <v>10</v>
      </c>
      <c r="AC121" s="15">
        <f t="shared" si="12"/>
        <v>10</v>
      </c>
      <c r="AD121" s="15" t="str">
        <f t="shared" si="10"/>
        <v>L</v>
      </c>
      <c r="AE121" s="31" t="s">
        <v>131</v>
      </c>
      <c r="AF121" s="31" t="s">
        <v>388</v>
      </c>
      <c r="AG121" s="33">
        <f>167+153</f>
        <v>320</v>
      </c>
      <c r="AH121" s="33">
        <v>167</v>
      </c>
      <c r="AI121" s="33">
        <v>167</v>
      </c>
      <c r="AJ121" s="33">
        <v>143</v>
      </c>
      <c r="AK121" s="33">
        <f>+AI121-AJ121</f>
        <v>24</v>
      </c>
      <c r="AL121" s="44">
        <v>128</v>
      </c>
      <c r="AM121" s="33">
        <v>122</v>
      </c>
      <c r="AN121" s="44">
        <f>+AL121-AM121</f>
        <v>6</v>
      </c>
      <c r="AO121" s="44">
        <v>54</v>
      </c>
      <c r="AP121" s="33">
        <v>52</v>
      </c>
      <c r="AQ121" s="33">
        <v>2</v>
      </c>
      <c r="AR121" s="33"/>
      <c r="AS121" s="33">
        <v>33</v>
      </c>
      <c r="AT121" s="33"/>
      <c r="AU121" s="33">
        <v>9</v>
      </c>
      <c r="AV121" s="33"/>
      <c r="AW121" s="33">
        <v>4</v>
      </c>
      <c r="AX121" s="33"/>
      <c r="AY121" s="33"/>
      <c r="AZ121" s="33"/>
      <c r="BA121" s="33">
        <v>153</v>
      </c>
      <c r="BB121" s="33">
        <v>153</v>
      </c>
      <c r="BC121" s="33">
        <v>128</v>
      </c>
      <c r="BD121" s="33">
        <v>25</v>
      </c>
      <c r="BE121" s="44">
        <v>121</v>
      </c>
      <c r="BF121" s="33">
        <v>109</v>
      </c>
      <c r="BG121" s="44">
        <f>+BE121-BF121</f>
        <v>12</v>
      </c>
      <c r="BH121" s="33">
        <v>49</v>
      </c>
      <c r="BI121" s="33">
        <v>45</v>
      </c>
      <c r="BJ121" s="33">
        <v>4</v>
      </c>
      <c r="BK121" s="33"/>
      <c r="BL121" s="33">
        <v>33</v>
      </c>
      <c r="BM121" s="44"/>
      <c r="BN121" s="33">
        <v>12</v>
      </c>
      <c r="BO121" s="33"/>
      <c r="BP121" s="33">
        <v>3</v>
      </c>
      <c r="BQ121" s="33"/>
      <c r="BR121" s="33"/>
      <c r="BS121" s="33"/>
      <c r="BT121" s="33">
        <f>23+21+5+12+5+6+3+3</f>
        <v>78</v>
      </c>
      <c r="BU121" s="33">
        <f>23+21</f>
        <v>44</v>
      </c>
      <c r="BV121" s="33">
        <f>12+5</f>
        <v>17</v>
      </c>
      <c r="BW121" s="33"/>
      <c r="BX121" s="33"/>
      <c r="BY121" s="33">
        <v>3</v>
      </c>
      <c r="BZ121" s="33">
        <f>5+6</f>
        <v>11</v>
      </c>
      <c r="CA121" s="33"/>
      <c r="CB121" s="33">
        <v>13</v>
      </c>
      <c r="CC121" s="33" t="s">
        <v>449</v>
      </c>
      <c r="CD121" s="33"/>
      <c r="CE121" s="33"/>
      <c r="CF121" s="33"/>
      <c r="CG121" s="33"/>
      <c r="CH121" s="33"/>
      <c r="CI121" s="33"/>
      <c r="CJ121" s="33"/>
      <c r="CK121" s="33"/>
      <c r="CL121" s="33"/>
      <c r="CM121" s="33"/>
      <c r="CN121" s="35"/>
      <c r="CO121" s="35"/>
      <c r="CP121" s="35"/>
      <c r="CQ121" s="35"/>
      <c r="CR121" s="35"/>
      <c r="CS121" s="35"/>
      <c r="CT121" s="35"/>
      <c r="CU121" s="35"/>
      <c r="CV121" s="35"/>
      <c r="CW121" s="35"/>
      <c r="CX121" s="35"/>
      <c r="CY121" s="35"/>
    </row>
    <row r="122" spans="1:103" s="36" customFormat="1" x14ac:dyDescent="0.2">
      <c r="A122" s="58">
        <v>113</v>
      </c>
      <c r="B122" s="30" t="s">
        <v>1429</v>
      </c>
      <c r="C122" s="30" t="s">
        <v>79</v>
      </c>
      <c r="D122" s="31" t="s">
        <v>812</v>
      </c>
      <c r="E122" s="29"/>
      <c r="F122" s="31">
        <v>2021</v>
      </c>
      <c r="G122" s="32" t="s">
        <v>1056</v>
      </c>
      <c r="H122" s="41" t="s">
        <v>1055</v>
      </c>
      <c r="I122" s="31" t="s">
        <v>8</v>
      </c>
      <c r="J122" s="31" t="s">
        <v>36</v>
      </c>
      <c r="K122" s="31" t="s">
        <v>1471</v>
      </c>
      <c r="L122" s="31" t="s">
        <v>31</v>
      </c>
      <c r="M122" s="31"/>
      <c r="N122" s="31" t="s">
        <v>201</v>
      </c>
      <c r="O122" s="31" t="s">
        <v>404</v>
      </c>
      <c r="P122" s="15" t="s">
        <v>285</v>
      </c>
      <c r="Q122" s="32" t="s">
        <v>313</v>
      </c>
      <c r="R122" s="32" t="s">
        <v>1075</v>
      </c>
      <c r="S122" s="31" t="s">
        <v>155</v>
      </c>
      <c r="T122" s="31" t="s">
        <v>868</v>
      </c>
      <c r="U122" s="31" t="s">
        <v>548</v>
      </c>
      <c r="V122" s="57">
        <v>8</v>
      </c>
      <c r="W122" s="57" t="str">
        <f t="shared" si="16"/>
        <v>L</v>
      </c>
      <c r="X122" s="31" t="s">
        <v>13</v>
      </c>
      <c r="Y122" s="31" t="s">
        <v>14</v>
      </c>
      <c r="Z122" s="31" t="s">
        <v>40</v>
      </c>
      <c r="AA122" s="31" t="s">
        <v>240</v>
      </c>
      <c r="AB122" s="31" t="s">
        <v>548</v>
      </c>
      <c r="AC122" s="15">
        <v>10</v>
      </c>
      <c r="AD122" s="15" t="str">
        <f t="shared" si="10"/>
        <v>L</v>
      </c>
      <c r="AE122" s="31" t="s">
        <v>13</v>
      </c>
      <c r="AF122" s="31" t="s">
        <v>14</v>
      </c>
      <c r="AG122" s="33">
        <v>343</v>
      </c>
      <c r="AH122" s="33">
        <v>117</v>
      </c>
      <c r="AI122" s="33">
        <v>103</v>
      </c>
      <c r="AJ122" s="33">
        <v>97</v>
      </c>
      <c r="AK122" s="33">
        <v>6</v>
      </c>
      <c r="AL122" s="44">
        <v>95</v>
      </c>
      <c r="AM122" s="33">
        <v>89</v>
      </c>
      <c r="AN122" s="44">
        <v>6</v>
      </c>
      <c r="AO122" s="44">
        <v>33</v>
      </c>
      <c r="AP122" s="33">
        <v>31</v>
      </c>
      <c r="AQ122" s="33">
        <v>2</v>
      </c>
      <c r="AR122" s="33"/>
      <c r="AS122" s="33">
        <v>40</v>
      </c>
      <c r="AT122" s="33">
        <v>27</v>
      </c>
      <c r="AU122" s="33"/>
      <c r="AV122" s="33"/>
      <c r="AW122" s="33"/>
      <c r="AX122" s="33"/>
      <c r="AY122" s="33"/>
      <c r="AZ122" s="33"/>
      <c r="BA122" s="33">
        <v>110</v>
      </c>
      <c r="BB122" s="33">
        <v>104</v>
      </c>
      <c r="BC122" s="33">
        <v>99</v>
      </c>
      <c r="BD122" s="33">
        <v>5</v>
      </c>
      <c r="BE122" s="44">
        <v>100</v>
      </c>
      <c r="BF122" s="33">
        <v>95</v>
      </c>
      <c r="BG122" s="44">
        <v>5</v>
      </c>
      <c r="BH122" s="33">
        <v>39</v>
      </c>
      <c r="BI122" s="33">
        <v>37</v>
      </c>
      <c r="BJ122" s="33">
        <v>2</v>
      </c>
      <c r="BK122" s="33"/>
      <c r="BL122" s="33">
        <v>43</v>
      </c>
      <c r="BM122" s="33">
        <v>31</v>
      </c>
      <c r="BN122" s="33"/>
      <c r="BO122" s="33"/>
      <c r="BP122" s="33"/>
      <c r="BQ122" s="33"/>
      <c r="BR122" s="33"/>
      <c r="BS122" s="33"/>
      <c r="BT122" s="33">
        <f>5+7+12+5+8+1+21+1+10+4+12+2+22+1+2</f>
        <v>113</v>
      </c>
      <c r="BU122" s="33">
        <f>5+7</f>
        <v>12</v>
      </c>
      <c r="BV122" s="33">
        <f>10+12</f>
        <v>22</v>
      </c>
      <c r="BW122" s="33">
        <f>12+8</f>
        <v>20</v>
      </c>
      <c r="BX122" s="33">
        <f>2+1</f>
        <v>3</v>
      </c>
      <c r="BY122" s="33">
        <v>9</v>
      </c>
      <c r="BZ122" s="33">
        <f>24+22</f>
        <v>46</v>
      </c>
      <c r="CA122" s="33"/>
      <c r="CB122" s="33"/>
      <c r="CC122" s="33"/>
      <c r="CD122" s="33"/>
      <c r="CE122" s="33"/>
      <c r="CF122" s="33"/>
      <c r="CG122" s="33"/>
      <c r="CH122" s="33"/>
      <c r="CI122" s="33"/>
      <c r="CJ122" s="33"/>
      <c r="CK122" s="33"/>
      <c r="CL122" s="33"/>
      <c r="CM122" s="33"/>
      <c r="CN122" s="35"/>
      <c r="CO122" s="35"/>
      <c r="CP122" s="35"/>
      <c r="CQ122" s="35"/>
      <c r="CR122" s="35"/>
      <c r="CS122" s="35"/>
      <c r="CT122" s="35"/>
      <c r="CU122" s="35"/>
      <c r="CV122" s="35"/>
      <c r="CW122" s="35"/>
      <c r="CX122" s="35"/>
      <c r="CY122" s="35"/>
    </row>
    <row r="123" spans="1:103" s="36" customFormat="1" x14ac:dyDescent="0.2">
      <c r="A123" s="58">
        <v>113</v>
      </c>
      <c r="B123" s="30" t="s">
        <v>1430</v>
      </c>
      <c r="C123" s="30" t="s">
        <v>79</v>
      </c>
      <c r="D123" s="31" t="s">
        <v>812</v>
      </c>
      <c r="E123" s="29"/>
      <c r="F123" s="31">
        <v>2021</v>
      </c>
      <c r="G123" s="32" t="s">
        <v>1056</v>
      </c>
      <c r="H123" s="41" t="s">
        <v>1055</v>
      </c>
      <c r="I123" s="31" t="s">
        <v>8</v>
      </c>
      <c r="J123" s="31" t="s">
        <v>36</v>
      </c>
      <c r="K123" s="31" t="s">
        <v>1471</v>
      </c>
      <c r="L123" s="31" t="s">
        <v>31</v>
      </c>
      <c r="M123" s="31"/>
      <c r="N123" s="31" t="s">
        <v>201</v>
      </c>
      <c r="O123" s="31" t="s">
        <v>404</v>
      </c>
      <c r="P123" s="15" t="s">
        <v>285</v>
      </c>
      <c r="Q123" s="32" t="s">
        <v>313</v>
      </c>
      <c r="R123" s="32" t="s">
        <v>1075</v>
      </c>
      <c r="S123" s="31" t="s">
        <v>155</v>
      </c>
      <c r="T123" s="31" t="s">
        <v>868</v>
      </c>
      <c r="U123" s="31" t="s">
        <v>548</v>
      </c>
      <c r="V123" s="57">
        <v>8</v>
      </c>
      <c r="W123" s="57" t="str">
        <f t="shared" si="16"/>
        <v>L</v>
      </c>
      <c r="X123" s="31" t="s">
        <v>13</v>
      </c>
      <c r="Y123" s="31" t="s">
        <v>14</v>
      </c>
      <c r="Z123" s="31" t="s">
        <v>155</v>
      </c>
      <c r="AA123" s="31" t="s">
        <v>1076</v>
      </c>
      <c r="AB123" s="31" t="s">
        <v>548</v>
      </c>
      <c r="AC123" s="15">
        <v>10</v>
      </c>
      <c r="AD123" s="15" t="str">
        <f t="shared" si="10"/>
        <v>L</v>
      </c>
      <c r="AE123" s="31" t="s">
        <v>13</v>
      </c>
      <c r="AF123" s="31" t="s">
        <v>14</v>
      </c>
      <c r="AG123" s="33">
        <v>343</v>
      </c>
      <c r="AH123" s="33">
        <v>117</v>
      </c>
      <c r="AI123" s="33">
        <v>103</v>
      </c>
      <c r="AJ123" s="33">
        <v>97</v>
      </c>
      <c r="AK123" s="33">
        <v>6</v>
      </c>
      <c r="AL123" s="44">
        <v>95</v>
      </c>
      <c r="AM123" s="33">
        <v>89</v>
      </c>
      <c r="AN123" s="44">
        <v>6</v>
      </c>
      <c r="AO123" s="44">
        <v>33</v>
      </c>
      <c r="AP123" s="33">
        <v>31</v>
      </c>
      <c r="AQ123" s="33">
        <v>2</v>
      </c>
      <c r="AR123" s="33"/>
      <c r="AS123" s="33">
        <v>40</v>
      </c>
      <c r="AT123" s="33">
        <v>27</v>
      </c>
      <c r="AU123" s="33"/>
      <c r="AV123" s="33"/>
      <c r="AW123" s="33"/>
      <c r="AX123" s="33"/>
      <c r="AY123" s="33"/>
      <c r="AZ123" s="33"/>
      <c r="BA123" s="33">
        <v>116</v>
      </c>
      <c r="BB123" s="33">
        <v>100</v>
      </c>
      <c r="BC123" s="33">
        <v>95</v>
      </c>
      <c r="BD123" s="33">
        <v>5</v>
      </c>
      <c r="BE123" s="44">
        <v>93</v>
      </c>
      <c r="BF123" s="33">
        <v>90</v>
      </c>
      <c r="BG123" s="44">
        <v>3</v>
      </c>
      <c r="BH123" s="33">
        <v>35</v>
      </c>
      <c r="BI123" s="33">
        <v>33</v>
      </c>
      <c r="BJ123" s="33">
        <v>2</v>
      </c>
      <c r="BK123" s="33"/>
      <c r="BL123" s="33">
        <v>52</v>
      </c>
      <c r="BM123" s="33">
        <v>34</v>
      </c>
      <c r="BN123" s="33"/>
      <c r="BO123" s="33"/>
      <c r="BP123" s="33"/>
      <c r="BQ123" s="33"/>
      <c r="BR123" s="33"/>
      <c r="BS123" s="33"/>
      <c r="BT123" s="33">
        <f>5+10+4+12+2+22+1+2+3+16+2+12+3+11+6</f>
        <v>111</v>
      </c>
      <c r="BU123" s="33">
        <v>11</v>
      </c>
      <c r="BV123" s="33">
        <v>21</v>
      </c>
      <c r="BW123" s="33">
        <f>12+12</f>
        <v>24</v>
      </c>
      <c r="BX123" s="33"/>
      <c r="BY123" s="33">
        <v>7</v>
      </c>
      <c r="BZ123" s="33">
        <f>24+19</f>
        <v>43</v>
      </c>
      <c r="CA123" s="33"/>
      <c r="CB123" s="33"/>
      <c r="CC123" s="33"/>
      <c r="CD123" s="33"/>
      <c r="CE123" s="33"/>
      <c r="CF123" s="33"/>
      <c r="CG123" s="33"/>
      <c r="CH123" s="33"/>
      <c r="CI123" s="33"/>
      <c r="CJ123" s="33"/>
      <c r="CK123" s="33"/>
      <c r="CL123" s="33"/>
      <c r="CM123" s="33"/>
      <c r="CN123" s="35"/>
      <c r="CO123" s="35"/>
      <c r="CP123" s="35"/>
      <c r="CQ123" s="35"/>
      <c r="CR123" s="35"/>
      <c r="CS123" s="35"/>
      <c r="CT123" s="35"/>
      <c r="CU123" s="35"/>
      <c r="CV123" s="35"/>
      <c r="CW123" s="35"/>
      <c r="CX123" s="35"/>
      <c r="CY123" s="35"/>
    </row>
    <row r="124" spans="1:103" s="36" customFormat="1" x14ac:dyDescent="0.2">
      <c r="A124" s="58">
        <v>114</v>
      </c>
      <c r="B124" s="14" t="s">
        <v>1429</v>
      </c>
      <c r="C124" s="30" t="s">
        <v>79</v>
      </c>
      <c r="D124" s="31" t="s">
        <v>812</v>
      </c>
      <c r="E124" s="29"/>
      <c r="F124" s="31">
        <v>2024</v>
      </c>
      <c r="G124" s="32" t="s">
        <v>1053</v>
      </c>
      <c r="H124" s="41" t="s">
        <v>1054</v>
      </c>
      <c r="I124" s="31" t="s">
        <v>8</v>
      </c>
      <c r="J124" s="31" t="s">
        <v>36</v>
      </c>
      <c r="K124" s="31" t="s">
        <v>1471</v>
      </c>
      <c r="L124" s="31" t="s">
        <v>32</v>
      </c>
      <c r="M124" s="15" t="s">
        <v>25</v>
      </c>
      <c r="N124" s="31" t="s">
        <v>201</v>
      </c>
      <c r="O124" s="31" t="s">
        <v>404</v>
      </c>
      <c r="P124" s="31" t="s">
        <v>333</v>
      </c>
      <c r="Q124" s="32" t="s">
        <v>313</v>
      </c>
      <c r="R124" s="32" t="s">
        <v>1077</v>
      </c>
      <c r="S124" s="31" t="s">
        <v>92</v>
      </c>
      <c r="T124" s="31" t="s">
        <v>405</v>
      </c>
      <c r="U124" s="31" t="s">
        <v>354</v>
      </c>
      <c r="V124" s="57">
        <v>8</v>
      </c>
      <c r="W124" s="57" t="str">
        <f t="shared" si="16"/>
        <v>L</v>
      </c>
      <c r="X124" s="31" t="s">
        <v>702</v>
      </c>
      <c r="Y124" s="31" t="s">
        <v>14</v>
      </c>
      <c r="Z124" s="31" t="s">
        <v>33</v>
      </c>
      <c r="AA124" s="31" t="s">
        <v>405</v>
      </c>
      <c r="AB124" s="31" t="s">
        <v>354</v>
      </c>
      <c r="AC124" s="15">
        <v>10</v>
      </c>
      <c r="AD124" s="15" t="str">
        <f t="shared" si="10"/>
        <v>L</v>
      </c>
      <c r="AE124" s="31" t="s">
        <v>13</v>
      </c>
      <c r="AF124" s="31" t="s">
        <v>14</v>
      </c>
      <c r="AG124" s="33">
        <v>519</v>
      </c>
      <c r="AH124" s="33">
        <v>349</v>
      </c>
      <c r="AI124" s="33">
        <f>279+25+10</f>
        <v>314</v>
      </c>
      <c r="AJ124" s="33">
        <v>279</v>
      </c>
      <c r="AK124" s="33">
        <v>35</v>
      </c>
      <c r="AL124" s="44">
        <f>271+23</f>
        <v>294</v>
      </c>
      <c r="AM124" s="33">
        <f>+AL124-AN124</f>
        <v>271</v>
      </c>
      <c r="AN124" s="44">
        <v>23</v>
      </c>
      <c r="AO124" s="44">
        <v>100</v>
      </c>
      <c r="AP124" s="33">
        <v>90</v>
      </c>
      <c r="AQ124" s="33">
        <v>10</v>
      </c>
      <c r="AR124" s="33"/>
      <c r="AS124" s="33">
        <v>203</v>
      </c>
      <c r="AT124" s="33">
        <v>148</v>
      </c>
      <c r="AU124" s="33">
        <v>0</v>
      </c>
      <c r="AV124" s="33"/>
      <c r="AW124" s="33">
        <v>0</v>
      </c>
      <c r="AX124" s="33"/>
      <c r="AY124" s="33"/>
      <c r="AZ124" s="33"/>
      <c r="BA124" s="33">
        <v>176</v>
      </c>
      <c r="BB124" s="33">
        <v>166</v>
      </c>
      <c r="BC124" s="33">
        <v>138</v>
      </c>
      <c r="BD124" s="33">
        <v>28</v>
      </c>
      <c r="BE124" s="44">
        <f>136+22</f>
        <v>158</v>
      </c>
      <c r="BF124" s="33">
        <v>136</v>
      </c>
      <c r="BG124" s="44">
        <v>22</v>
      </c>
      <c r="BH124" s="33">
        <v>48</v>
      </c>
      <c r="BI124" s="33">
        <v>42</v>
      </c>
      <c r="BJ124" s="33">
        <v>6</v>
      </c>
      <c r="BK124" s="33"/>
      <c r="BL124" s="33">
        <v>82</v>
      </c>
      <c r="BM124" s="33">
        <v>62</v>
      </c>
      <c r="BN124" s="33">
        <v>0</v>
      </c>
      <c r="BO124" s="33"/>
      <c r="BP124" s="33">
        <v>0</v>
      </c>
      <c r="BQ124" s="33"/>
      <c r="BR124" s="33"/>
      <c r="BS124" s="33"/>
      <c r="BT124" s="33">
        <f>15+23+35+5+8+14+111</f>
        <v>211</v>
      </c>
      <c r="BU124" s="33">
        <v>15</v>
      </c>
      <c r="BV124" s="33">
        <v>23</v>
      </c>
      <c r="BW124" s="33">
        <v>35</v>
      </c>
      <c r="BX124" s="33"/>
      <c r="BY124" s="33">
        <v>2</v>
      </c>
      <c r="BZ124" s="33">
        <v>111</v>
      </c>
      <c r="CA124" s="33"/>
      <c r="CB124" s="33"/>
      <c r="CC124" s="33"/>
      <c r="CD124" s="33"/>
      <c r="CE124" s="33"/>
      <c r="CF124" s="33"/>
      <c r="CG124" s="33"/>
      <c r="CH124" s="33"/>
      <c r="CI124" s="33"/>
      <c r="CJ124" s="33"/>
      <c r="CK124" s="33"/>
      <c r="CL124" s="33"/>
      <c r="CM124" s="33"/>
      <c r="CN124" s="35"/>
      <c r="CO124" s="35"/>
      <c r="CP124" s="35"/>
      <c r="CQ124" s="35"/>
      <c r="CR124" s="35"/>
      <c r="CS124" s="35"/>
      <c r="CT124" s="35"/>
      <c r="CU124" s="35"/>
      <c r="CV124" s="35"/>
      <c r="CW124" s="35"/>
      <c r="CX124" s="35"/>
      <c r="CY124" s="35"/>
    </row>
    <row r="125" spans="1:103" s="36" customFormat="1" x14ac:dyDescent="0.2">
      <c r="A125" s="58">
        <v>115</v>
      </c>
      <c r="B125" s="14" t="s">
        <v>1429</v>
      </c>
      <c r="C125" s="30" t="s">
        <v>79</v>
      </c>
      <c r="D125" s="31" t="s">
        <v>129</v>
      </c>
      <c r="E125" s="29"/>
      <c r="F125" s="31">
        <v>2019</v>
      </c>
      <c r="G125" s="32" t="s">
        <v>339</v>
      </c>
      <c r="H125" s="41"/>
      <c r="I125" s="31" t="s">
        <v>8</v>
      </c>
      <c r="J125" s="31" t="s">
        <v>130</v>
      </c>
      <c r="K125" s="31" t="s">
        <v>366</v>
      </c>
      <c r="L125" s="15" t="s">
        <v>68</v>
      </c>
      <c r="M125" s="31" t="s">
        <v>11</v>
      </c>
      <c r="N125" s="31" t="s">
        <v>201</v>
      </c>
      <c r="O125" s="31" t="s">
        <v>404</v>
      </c>
      <c r="P125" s="15" t="s">
        <v>285</v>
      </c>
      <c r="Q125" s="17" t="s">
        <v>308</v>
      </c>
      <c r="R125" s="32" t="s">
        <v>340</v>
      </c>
      <c r="S125" s="31" t="s">
        <v>131</v>
      </c>
      <c r="T125" s="31" t="s">
        <v>1078</v>
      </c>
      <c r="U125" s="31">
        <v>10</v>
      </c>
      <c r="V125" s="57">
        <f t="shared" si="11"/>
        <v>10</v>
      </c>
      <c r="W125" s="57" t="str">
        <f t="shared" si="16"/>
        <v>L</v>
      </c>
      <c r="X125" s="31" t="s">
        <v>131</v>
      </c>
      <c r="Y125" s="31" t="s">
        <v>388</v>
      </c>
      <c r="Z125" s="31" t="s">
        <v>23</v>
      </c>
      <c r="AA125" s="31" t="s">
        <v>1065</v>
      </c>
      <c r="AB125" s="31">
        <v>10</v>
      </c>
      <c r="AC125" s="15">
        <f t="shared" si="12"/>
        <v>10</v>
      </c>
      <c r="AD125" s="15" t="str">
        <f t="shared" si="10"/>
        <v>L</v>
      </c>
      <c r="AE125" s="31" t="s">
        <v>131</v>
      </c>
      <c r="AF125" s="31" t="s">
        <v>388</v>
      </c>
      <c r="AG125" s="33">
        <v>43</v>
      </c>
      <c r="AH125" s="33">
        <v>15</v>
      </c>
      <c r="AI125" s="33">
        <v>14</v>
      </c>
      <c r="AJ125" s="33">
        <v>10</v>
      </c>
      <c r="AK125" s="33">
        <v>4</v>
      </c>
      <c r="AL125" s="44">
        <v>11</v>
      </c>
      <c r="AM125" s="33">
        <v>10</v>
      </c>
      <c r="AN125" s="44">
        <v>1</v>
      </c>
      <c r="AO125" s="44"/>
      <c r="AP125" s="33"/>
      <c r="AQ125" s="33"/>
      <c r="AR125" s="33"/>
      <c r="AS125" s="33">
        <v>1</v>
      </c>
      <c r="AT125" s="33"/>
      <c r="AU125" s="33"/>
      <c r="AV125" s="33"/>
      <c r="AW125" s="33"/>
      <c r="AX125" s="33"/>
      <c r="AY125" s="33"/>
      <c r="AZ125" s="33"/>
      <c r="BA125" s="33">
        <v>28</v>
      </c>
      <c r="BB125" s="33">
        <v>25</v>
      </c>
      <c r="BC125" s="33">
        <v>25</v>
      </c>
      <c r="BD125" s="33">
        <v>0</v>
      </c>
      <c r="BE125" s="44">
        <v>25</v>
      </c>
      <c r="BF125" s="33">
        <v>25</v>
      </c>
      <c r="BG125" s="44">
        <v>0</v>
      </c>
      <c r="BH125" s="33"/>
      <c r="BI125" s="33"/>
      <c r="BJ125" s="33"/>
      <c r="BK125" s="33"/>
      <c r="BL125" s="33">
        <v>3</v>
      </c>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5"/>
      <c r="CO125" s="35"/>
      <c r="CP125" s="35"/>
      <c r="CQ125" s="35"/>
      <c r="CR125" s="35"/>
      <c r="CS125" s="35"/>
      <c r="CT125" s="35"/>
      <c r="CU125" s="35"/>
      <c r="CV125" s="35"/>
      <c r="CW125" s="35"/>
      <c r="CX125" s="35"/>
      <c r="CY125" s="35"/>
    </row>
    <row r="126" spans="1:103" s="36" customFormat="1" x14ac:dyDescent="0.2">
      <c r="A126" s="58">
        <v>116</v>
      </c>
      <c r="B126" s="14" t="s">
        <v>1429</v>
      </c>
      <c r="C126" s="30" t="s">
        <v>79</v>
      </c>
      <c r="D126" s="31" t="s">
        <v>4</v>
      </c>
      <c r="E126" s="29"/>
      <c r="F126" s="31">
        <v>2013</v>
      </c>
      <c r="G126" s="32" t="s">
        <v>6</v>
      </c>
      <c r="H126" s="41" t="s">
        <v>7</v>
      </c>
      <c r="I126" s="31" t="s">
        <v>8</v>
      </c>
      <c r="J126" s="31" t="s">
        <v>9</v>
      </c>
      <c r="K126" s="31" t="s">
        <v>1472</v>
      </c>
      <c r="L126" s="31" t="s">
        <v>31</v>
      </c>
      <c r="M126" s="31" t="s">
        <v>11</v>
      </c>
      <c r="N126" s="31" t="s">
        <v>201</v>
      </c>
      <c r="O126" s="31" t="s">
        <v>404</v>
      </c>
      <c r="P126" s="15" t="s">
        <v>285</v>
      </c>
      <c r="Q126" s="32" t="s">
        <v>313</v>
      </c>
      <c r="R126" s="32" t="s">
        <v>1080</v>
      </c>
      <c r="S126" s="31" t="s">
        <v>12</v>
      </c>
      <c r="T126" s="31" t="s">
        <v>240</v>
      </c>
      <c r="U126" s="31">
        <v>5</v>
      </c>
      <c r="V126" s="57">
        <f t="shared" si="11"/>
        <v>5</v>
      </c>
      <c r="W126" s="57" t="str">
        <f t="shared" si="16"/>
        <v>S</v>
      </c>
      <c r="X126" s="31" t="s">
        <v>16</v>
      </c>
      <c r="Y126" s="31" t="s">
        <v>14</v>
      </c>
      <c r="Z126" s="31" t="s">
        <v>1467</v>
      </c>
      <c r="AA126" s="31" t="s">
        <v>474</v>
      </c>
      <c r="AB126" s="31">
        <v>5</v>
      </c>
      <c r="AC126" s="15">
        <f t="shared" si="12"/>
        <v>5</v>
      </c>
      <c r="AD126" s="15" t="str">
        <f t="shared" si="10"/>
        <v>S</v>
      </c>
      <c r="AE126" s="31" t="s">
        <v>13</v>
      </c>
      <c r="AF126" s="31" t="s">
        <v>14</v>
      </c>
      <c r="AG126" s="33">
        <v>132</v>
      </c>
      <c r="AH126" s="33">
        <v>65</v>
      </c>
      <c r="AI126" s="33">
        <v>65</v>
      </c>
      <c r="AJ126" s="33">
        <v>55</v>
      </c>
      <c r="AK126" s="33">
        <v>10</v>
      </c>
      <c r="AL126" s="44">
        <v>55</v>
      </c>
      <c r="AM126" s="33">
        <v>46</v>
      </c>
      <c r="AN126" s="44">
        <v>9</v>
      </c>
      <c r="AO126" s="44">
        <v>15</v>
      </c>
      <c r="AP126" s="33">
        <v>12</v>
      </c>
      <c r="AQ126" s="33">
        <v>3</v>
      </c>
      <c r="AR126" s="33"/>
      <c r="AS126" s="33">
        <v>19</v>
      </c>
      <c r="AT126" s="33">
        <v>7</v>
      </c>
      <c r="AU126" s="33">
        <v>2</v>
      </c>
      <c r="AV126" s="33"/>
      <c r="AW126" s="33">
        <v>0</v>
      </c>
      <c r="AX126" s="33"/>
      <c r="AY126" s="33"/>
      <c r="AZ126" s="33"/>
      <c r="BA126" s="33">
        <v>67</v>
      </c>
      <c r="BB126" s="33">
        <v>67</v>
      </c>
      <c r="BC126" s="33">
        <v>58</v>
      </c>
      <c r="BD126" s="33">
        <v>9</v>
      </c>
      <c r="BE126" s="44">
        <v>58</v>
      </c>
      <c r="BF126" s="33">
        <v>54</v>
      </c>
      <c r="BG126" s="44">
        <v>4</v>
      </c>
      <c r="BH126" s="33">
        <v>13</v>
      </c>
      <c r="BI126" s="33">
        <v>10</v>
      </c>
      <c r="BJ126" s="33">
        <v>3</v>
      </c>
      <c r="BK126" s="33"/>
      <c r="BL126" s="33">
        <v>31</v>
      </c>
      <c r="BM126" s="33">
        <v>13</v>
      </c>
      <c r="BN126" s="33">
        <v>6</v>
      </c>
      <c r="BO126" s="33"/>
      <c r="BP126" s="33">
        <v>1</v>
      </c>
      <c r="BQ126" s="33"/>
      <c r="BR126" s="33"/>
      <c r="BS126" s="33"/>
      <c r="BT126" s="33">
        <f>15+13</f>
        <v>28</v>
      </c>
      <c r="BU126" s="33">
        <v>8</v>
      </c>
      <c r="BV126" s="33">
        <v>6</v>
      </c>
      <c r="BW126" s="33">
        <v>2</v>
      </c>
      <c r="BX126" s="33">
        <v>1</v>
      </c>
      <c r="BY126" s="33">
        <v>4</v>
      </c>
      <c r="BZ126" s="33">
        <v>3</v>
      </c>
      <c r="CA126" s="33">
        <v>2</v>
      </c>
      <c r="CB126" s="33">
        <v>0</v>
      </c>
      <c r="CC126" s="33"/>
      <c r="CD126" s="33"/>
      <c r="CE126" s="33"/>
      <c r="CF126" s="33"/>
      <c r="CG126" s="33"/>
      <c r="CH126" s="33"/>
      <c r="CI126" s="33"/>
      <c r="CJ126" s="33"/>
      <c r="CK126" s="33"/>
      <c r="CL126" s="33"/>
      <c r="CM126" s="33"/>
      <c r="CN126" s="35"/>
      <c r="CO126" s="35"/>
      <c r="CP126" s="35"/>
      <c r="CQ126" s="35"/>
      <c r="CR126" s="35"/>
      <c r="CS126" s="35"/>
      <c r="CT126" s="35"/>
      <c r="CU126" s="35"/>
      <c r="CV126" s="35"/>
      <c r="CW126" s="35"/>
      <c r="CX126" s="35"/>
      <c r="CY126" s="35"/>
    </row>
    <row r="127" spans="1:103" s="36" customFormat="1" x14ac:dyDescent="0.2">
      <c r="A127" s="58">
        <v>117</v>
      </c>
      <c r="B127" s="14" t="s">
        <v>1429</v>
      </c>
      <c r="C127" s="30" t="s">
        <v>79</v>
      </c>
      <c r="D127" s="31" t="s">
        <v>63</v>
      </c>
      <c r="E127" s="29"/>
      <c r="F127" s="31">
        <v>1997</v>
      </c>
      <c r="G127" s="32" t="s">
        <v>1057</v>
      </c>
      <c r="H127" s="41" t="s">
        <v>1082</v>
      </c>
      <c r="I127" s="31" t="s">
        <v>8</v>
      </c>
      <c r="J127" s="31" t="s">
        <v>49</v>
      </c>
      <c r="K127" s="31" t="s">
        <v>1473</v>
      </c>
      <c r="L127" s="31" t="s">
        <v>32</v>
      </c>
      <c r="M127" s="15" t="s">
        <v>25</v>
      </c>
      <c r="N127" s="31" t="s">
        <v>201</v>
      </c>
      <c r="O127" s="31" t="s">
        <v>404</v>
      </c>
      <c r="P127" s="31" t="s">
        <v>167</v>
      </c>
      <c r="Q127" s="32" t="s">
        <v>313</v>
      </c>
      <c r="R127" s="32" t="s">
        <v>1084</v>
      </c>
      <c r="S127" s="31" t="s">
        <v>1081</v>
      </c>
      <c r="T127" s="31" t="s">
        <v>1085</v>
      </c>
      <c r="U127" s="31">
        <v>5</v>
      </c>
      <c r="V127" s="57">
        <f t="shared" si="11"/>
        <v>5</v>
      </c>
      <c r="W127" s="57" t="str">
        <f t="shared" si="16"/>
        <v>S</v>
      </c>
      <c r="X127" s="31" t="s">
        <v>1083</v>
      </c>
      <c r="Y127" s="31" t="s">
        <v>14</v>
      </c>
      <c r="Z127" s="31" t="s">
        <v>152</v>
      </c>
      <c r="AA127" s="31" t="s">
        <v>710</v>
      </c>
      <c r="AB127" s="31">
        <v>5</v>
      </c>
      <c r="AC127" s="15">
        <f t="shared" si="12"/>
        <v>5</v>
      </c>
      <c r="AD127" s="15" t="str">
        <f t="shared" si="10"/>
        <v>S</v>
      </c>
      <c r="AE127" s="31" t="s">
        <v>1079</v>
      </c>
      <c r="AF127" s="31" t="s">
        <v>14</v>
      </c>
      <c r="AG127" s="33">
        <f>119+121</f>
        <v>240</v>
      </c>
      <c r="AH127" s="33">
        <v>121</v>
      </c>
      <c r="AI127" s="33">
        <v>121</v>
      </c>
      <c r="AJ127" s="33">
        <f>+AI127-AK127</f>
        <v>103</v>
      </c>
      <c r="AK127" s="33">
        <v>18</v>
      </c>
      <c r="AL127" s="44">
        <f>103+7</f>
        <v>110</v>
      </c>
      <c r="AM127" s="33">
        <v>103</v>
      </c>
      <c r="AN127" s="44">
        <v>7</v>
      </c>
      <c r="AO127" s="44"/>
      <c r="AP127" s="33"/>
      <c r="AQ127" s="33"/>
      <c r="AR127" s="33"/>
      <c r="AS127" s="33">
        <v>6</v>
      </c>
      <c r="AT127" s="33"/>
      <c r="AU127" s="33"/>
      <c r="AV127" s="33"/>
      <c r="AW127" s="33">
        <v>7</v>
      </c>
      <c r="AX127" s="33">
        <v>17</v>
      </c>
      <c r="AY127" s="33"/>
      <c r="AZ127" s="33"/>
      <c r="BA127" s="33">
        <v>119</v>
      </c>
      <c r="BB127" s="33">
        <v>119</v>
      </c>
      <c r="BC127" s="33">
        <v>87</v>
      </c>
      <c r="BD127" s="33">
        <v>32</v>
      </c>
      <c r="BE127" s="44">
        <f>87+28</f>
        <v>115</v>
      </c>
      <c r="BF127" s="33">
        <v>87</v>
      </c>
      <c r="BG127" s="44">
        <v>28</v>
      </c>
      <c r="BH127" s="33"/>
      <c r="BI127" s="33"/>
      <c r="BJ127" s="33"/>
      <c r="BK127" s="33"/>
      <c r="BL127" s="33">
        <v>6</v>
      </c>
      <c r="BM127" s="33"/>
      <c r="BN127" s="33"/>
      <c r="BO127" s="33"/>
      <c r="BP127" s="33">
        <v>5</v>
      </c>
      <c r="BQ127" s="33">
        <v>18.600000000000001</v>
      </c>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5"/>
      <c r="CO127" s="35"/>
      <c r="CP127" s="35"/>
      <c r="CQ127" s="35"/>
      <c r="CR127" s="35"/>
      <c r="CS127" s="35"/>
      <c r="CT127" s="35"/>
      <c r="CU127" s="35"/>
      <c r="CV127" s="35"/>
      <c r="CW127" s="35"/>
      <c r="CX127" s="35"/>
      <c r="CY127" s="35"/>
    </row>
    <row r="128" spans="1:103" s="36" customFormat="1" x14ac:dyDescent="0.2">
      <c r="A128" s="58">
        <v>118</v>
      </c>
      <c r="B128" s="14" t="s">
        <v>1429</v>
      </c>
      <c r="C128" s="30" t="s">
        <v>79</v>
      </c>
      <c r="D128" s="31" t="s">
        <v>1021</v>
      </c>
      <c r="E128" s="29"/>
      <c r="F128" s="31">
        <v>2019</v>
      </c>
      <c r="G128" s="32" t="s">
        <v>1062</v>
      </c>
      <c r="H128" s="41" t="s">
        <v>1063</v>
      </c>
      <c r="I128" s="31" t="s">
        <v>8</v>
      </c>
      <c r="J128" s="31" t="s">
        <v>38</v>
      </c>
      <c r="K128" s="31" t="s">
        <v>1473</v>
      </c>
      <c r="L128" s="15" t="s">
        <v>68</v>
      </c>
      <c r="M128" s="15" t="s">
        <v>25</v>
      </c>
      <c r="N128" s="31" t="s">
        <v>201</v>
      </c>
      <c r="O128" s="31" t="s">
        <v>404</v>
      </c>
      <c r="P128" s="31" t="s">
        <v>333</v>
      </c>
      <c r="Q128" s="32" t="s">
        <v>313</v>
      </c>
      <c r="R128" s="32" t="s">
        <v>1087</v>
      </c>
      <c r="S128" s="31" t="s">
        <v>1086</v>
      </c>
      <c r="T128" s="31" t="s">
        <v>868</v>
      </c>
      <c r="U128" s="31" t="s">
        <v>354</v>
      </c>
      <c r="V128" s="57">
        <v>10</v>
      </c>
      <c r="W128" s="57" t="str">
        <f t="shared" si="16"/>
        <v>L</v>
      </c>
      <c r="X128" s="31" t="s">
        <v>865</v>
      </c>
      <c r="Y128" s="31" t="s">
        <v>679</v>
      </c>
      <c r="Z128" s="31" t="s">
        <v>40</v>
      </c>
      <c r="AA128" s="31" t="s">
        <v>240</v>
      </c>
      <c r="AB128" s="31" t="s">
        <v>354</v>
      </c>
      <c r="AC128" s="15">
        <v>10</v>
      </c>
      <c r="AD128" s="15" t="str">
        <f t="shared" si="10"/>
        <v>L</v>
      </c>
      <c r="AE128" s="31" t="s">
        <v>13</v>
      </c>
      <c r="AF128" s="31" t="s">
        <v>14</v>
      </c>
      <c r="AG128" s="33">
        <v>774</v>
      </c>
      <c r="AH128" s="33">
        <v>386</v>
      </c>
      <c r="AI128" s="33">
        <v>386</v>
      </c>
      <c r="AJ128" s="33">
        <v>349</v>
      </c>
      <c r="AK128" s="33">
        <f>+AI128-AJ128</f>
        <v>37</v>
      </c>
      <c r="AL128" s="44">
        <v>357</v>
      </c>
      <c r="AM128" s="33">
        <v>336</v>
      </c>
      <c r="AN128" s="44">
        <f>+AL128-AM128</f>
        <v>21</v>
      </c>
      <c r="AO128" s="44"/>
      <c r="AP128" s="33"/>
      <c r="AQ128" s="33"/>
      <c r="AR128" s="33"/>
      <c r="AS128" s="33">
        <v>157</v>
      </c>
      <c r="AT128" s="33">
        <v>39</v>
      </c>
      <c r="AU128" s="33">
        <v>25</v>
      </c>
      <c r="AV128" s="33"/>
      <c r="AW128" s="33">
        <v>8</v>
      </c>
      <c r="AX128" s="33"/>
      <c r="AY128" s="33"/>
      <c r="AZ128" s="33"/>
      <c r="BA128" s="33">
        <v>388</v>
      </c>
      <c r="BB128" s="33">
        <v>388</v>
      </c>
      <c r="BC128" s="33">
        <v>341</v>
      </c>
      <c r="BD128" s="33">
        <v>47</v>
      </c>
      <c r="BE128" s="44">
        <v>357</v>
      </c>
      <c r="BF128" s="33">
        <v>329</v>
      </c>
      <c r="BG128" s="44">
        <f>+BE128-BF128</f>
        <v>28</v>
      </c>
      <c r="BH128" s="33"/>
      <c r="BI128" s="33"/>
      <c r="BJ128" s="33"/>
      <c r="BK128" s="33"/>
      <c r="BL128" s="33">
        <v>188</v>
      </c>
      <c r="BM128" s="33">
        <v>69</v>
      </c>
      <c r="BN128" s="33">
        <v>26</v>
      </c>
      <c r="BO128" s="33"/>
      <c r="BP128" s="33">
        <v>4</v>
      </c>
      <c r="BQ128" s="33"/>
      <c r="BR128" s="33"/>
      <c r="BS128" s="33"/>
      <c r="BT128" s="33">
        <f>61+56+79+69+73+64</f>
        <v>402</v>
      </c>
      <c r="BU128" s="33">
        <f>43+34</f>
        <v>77</v>
      </c>
      <c r="BV128" s="33">
        <f>32+16</f>
        <v>48</v>
      </c>
      <c r="BW128" s="33">
        <f>13+13</f>
        <v>26</v>
      </c>
      <c r="BX128" s="33"/>
      <c r="BY128" s="33">
        <v>22</v>
      </c>
      <c r="BZ128" s="33">
        <f>73+64</f>
        <v>137</v>
      </c>
      <c r="CA128" s="33">
        <v>16</v>
      </c>
      <c r="CB128" s="33">
        <v>5</v>
      </c>
      <c r="CC128" s="33"/>
      <c r="CD128" s="33"/>
      <c r="CE128" s="33"/>
      <c r="CF128" s="33"/>
      <c r="CG128" s="33"/>
      <c r="CH128" s="33"/>
      <c r="CI128" s="33"/>
      <c r="CJ128" s="33"/>
      <c r="CK128" s="33"/>
      <c r="CL128" s="33"/>
      <c r="CM128" s="33"/>
      <c r="CN128" s="35"/>
      <c r="CO128" s="35"/>
      <c r="CP128" s="35"/>
      <c r="CQ128" s="35"/>
      <c r="CR128" s="35"/>
      <c r="CS128" s="35"/>
      <c r="CT128" s="35"/>
      <c r="CU128" s="35"/>
      <c r="CV128" s="35"/>
      <c r="CW128" s="35"/>
      <c r="CX128" s="35"/>
      <c r="CY128" s="35"/>
    </row>
    <row r="129" spans="1:103" s="36" customFormat="1" x14ac:dyDescent="0.2">
      <c r="A129" s="58">
        <v>120</v>
      </c>
      <c r="B129" s="14" t="s">
        <v>1429</v>
      </c>
      <c r="C129" s="30" t="s">
        <v>79</v>
      </c>
      <c r="D129" s="31" t="s">
        <v>209</v>
      </c>
      <c r="E129" s="29"/>
      <c r="F129" s="31">
        <v>1998</v>
      </c>
      <c r="G129" s="32" t="s">
        <v>210</v>
      </c>
      <c r="H129" s="41"/>
      <c r="I129" s="31" t="s">
        <v>8</v>
      </c>
      <c r="J129" s="32" t="s">
        <v>347</v>
      </c>
      <c r="K129" s="32" t="s">
        <v>1473</v>
      </c>
      <c r="L129" s="31" t="s">
        <v>31</v>
      </c>
      <c r="M129" s="31" t="s">
        <v>333</v>
      </c>
      <c r="N129" s="31" t="s">
        <v>201</v>
      </c>
      <c r="O129" s="31" t="s">
        <v>411</v>
      </c>
      <c r="P129" s="15" t="s">
        <v>285</v>
      </c>
      <c r="Q129" s="32" t="s">
        <v>313</v>
      </c>
      <c r="R129" s="32" t="s">
        <v>349</v>
      </c>
      <c r="S129" s="31" t="s">
        <v>211</v>
      </c>
      <c r="T129" s="31" t="s">
        <v>757</v>
      </c>
      <c r="U129" s="31" t="s">
        <v>351</v>
      </c>
      <c r="V129" s="57">
        <v>8</v>
      </c>
      <c r="W129" s="57" t="str">
        <f t="shared" si="16"/>
        <v>L</v>
      </c>
      <c r="X129" s="31" t="s">
        <v>13</v>
      </c>
      <c r="Y129" s="31" t="s">
        <v>14</v>
      </c>
      <c r="Z129" s="31" t="s">
        <v>23</v>
      </c>
      <c r="AA129" s="31" t="s">
        <v>1090</v>
      </c>
      <c r="AB129" s="31" t="s">
        <v>351</v>
      </c>
      <c r="AC129" s="15">
        <v>10</v>
      </c>
      <c r="AD129" s="15" t="str">
        <f t="shared" si="10"/>
        <v>L</v>
      </c>
      <c r="AE129" s="31" t="s">
        <v>131</v>
      </c>
      <c r="AF129" s="31" t="s">
        <v>388</v>
      </c>
      <c r="AG129" s="33">
        <f>173+169</f>
        <v>342</v>
      </c>
      <c r="AH129" s="33">
        <v>173</v>
      </c>
      <c r="AI129" s="33"/>
      <c r="AJ129" s="33"/>
      <c r="AK129" s="33"/>
      <c r="AL129" s="44">
        <v>152</v>
      </c>
      <c r="AM129" s="33">
        <f>87+54</f>
        <v>141</v>
      </c>
      <c r="AN129" s="44">
        <v>11</v>
      </c>
      <c r="AO129" s="44">
        <v>86</v>
      </c>
      <c r="AP129" s="33">
        <v>81</v>
      </c>
      <c r="AQ129" s="33">
        <v>5</v>
      </c>
      <c r="AR129" s="33"/>
      <c r="AS129" s="33"/>
      <c r="AT129" s="33">
        <v>29</v>
      </c>
      <c r="AU129" s="33">
        <v>23</v>
      </c>
      <c r="AV129" s="33"/>
      <c r="AW129" s="33">
        <v>4</v>
      </c>
      <c r="AX129" s="33"/>
      <c r="AY129" s="33"/>
      <c r="AZ129" s="33"/>
      <c r="BA129" s="33">
        <v>169</v>
      </c>
      <c r="BB129" s="33"/>
      <c r="BC129" s="33"/>
      <c r="BD129" s="33"/>
      <c r="BE129" s="44">
        <v>160</v>
      </c>
      <c r="BF129" s="33">
        <f>85+57</f>
        <v>142</v>
      </c>
      <c r="BG129" s="44">
        <v>18</v>
      </c>
      <c r="BH129" s="33">
        <v>92</v>
      </c>
      <c r="BI129" s="33">
        <v>80</v>
      </c>
      <c r="BJ129" s="33">
        <v>12</v>
      </c>
      <c r="BK129" s="33"/>
      <c r="BL129" s="33"/>
      <c r="BM129" s="33">
        <v>18</v>
      </c>
      <c r="BN129" s="33">
        <v>21</v>
      </c>
      <c r="BO129" s="33"/>
      <c r="BP129" s="33">
        <v>3</v>
      </c>
      <c r="BQ129" s="33"/>
      <c r="BR129" s="33"/>
      <c r="BS129" s="33"/>
      <c r="BT129" s="33">
        <f>86+92</f>
        <v>178</v>
      </c>
      <c r="BU129" s="33">
        <f>20+24</f>
        <v>44</v>
      </c>
      <c r="BV129" s="33">
        <f>17+17</f>
        <v>34</v>
      </c>
      <c r="BW129" s="33">
        <v>8</v>
      </c>
      <c r="BX129" s="33"/>
      <c r="BY129" s="33"/>
      <c r="BZ129" s="33">
        <f>22+15+5+26+15+6</f>
        <v>89</v>
      </c>
      <c r="CA129" s="33"/>
      <c r="CB129" s="33"/>
      <c r="CC129" s="33"/>
      <c r="CD129" s="33"/>
      <c r="CE129" s="33"/>
      <c r="CF129" s="33"/>
      <c r="CG129" s="33"/>
      <c r="CH129" s="33"/>
      <c r="CI129" s="33"/>
      <c r="CJ129" s="33"/>
      <c r="CK129" s="33"/>
      <c r="CL129" s="33"/>
      <c r="CM129" s="33"/>
      <c r="CN129" s="35"/>
      <c r="CO129" s="35"/>
      <c r="CP129" s="35"/>
      <c r="CQ129" s="35"/>
      <c r="CR129" s="35"/>
      <c r="CS129" s="35"/>
      <c r="CT129" s="35"/>
      <c r="CU129" s="35"/>
      <c r="CV129" s="35"/>
      <c r="CW129" s="35"/>
      <c r="CX129" s="35"/>
      <c r="CY129" s="35"/>
    </row>
    <row r="130" spans="1:103" s="36" customFormat="1" x14ac:dyDescent="0.2">
      <c r="A130" s="58">
        <v>121</v>
      </c>
      <c r="B130" s="14" t="s">
        <v>1429</v>
      </c>
      <c r="C130" s="30" t="s">
        <v>79</v>
      </c>
      <c r="D130" s="31" t="s">
        <v>209</v>
      </c>
      <c r="E130" s="29"/>
      <c r="F130" s="31">
        <v>2005</v>
      </c>
      <c r="G130" s="32" t="s">
        <v>299</v>
      </c>
      <c r="H130" s="41" t="s">
        <v>301</v>
      </c>
      <c r="I130" s="31" t="s">
        <v>8</v>
      </c>
      <c r="J130" s="32" t="s">
        <v>348</v>
      </c>
      <c r="K130" s="32" t="s">
        <v>1473</v>
      </c>
      <c r="L130" s="31" t="s">
        <v>31</v>
      </c>
      <c r="M130" s="31" t="s">
        <v>333</v>
      </c>
      <c r="N130" s="31" t="s">
        <v>201</v>
      </c>
      <c r="O130" s="31" t="s">
        <v>404</v>
      </c>
      <c r="P130" s="15" t="s">
        <v>285</v>
      </c>
      <c r="Q130" s="32" t="s">
        <v>313</v>
      </c>
      <c r="R130" s="32" t="s">
        <v>350</v>
      </c>
      <c r="S130" s="31" t="s">
        <v>300</v>
      </c>
      <c r="T130" s="31" t="s">
        <v>708</v>
      </c>
      <c r="U130" s="31" t="s">
        <v>351</v>
      </c>
      <c r="V130" s="57">
        <v>8</v>
      </c>
      <c r="W130" s="57" t="str">
        <f t="shared" si="16"/>
        <v>L</v>
      </c>
      <c r="X130" s="31" t="s">
        <v>1091</v>
      </c>
      <c r="Y130" s="31" t="s">
        <v>14</v>
      </c>
      <c r="Z130" s="31" t="s">
        <v>23</v>
      </c>
      <c r="AA130" s="31" t="s">
        <v>708</v>
      </c>
      <c r="AB130" s="31" t="s">
        <v>351</v>
      </c>
      <c r="AC130" s="15">
        <v>10</v>
      </c>
      <c r="AD130" s="15" t="str">
        <f t="shared" si="10"/>
        <v>L</v>
      </c>
      <c r="AE130" s="31" t="s">
        <v>131</v>
      </c>
      <c r="AF130" s="31" t="s">
        <v>388</v>
      </c>
      <c r="AG130" s="33">
        <v>399</v>
      </c>
      <c r="AH130" s="33">
        <v>189</v>
      </c>
      <c r="AI130" s="33">
        <v>189</v>
      </c>
      <c r="AJ130" s="33">
        <v>151</v>
      </c>
      <c r="AK130" s="33">
        <f>+AI130-AJ130</f>
        <v>38</v>
      </c>
      <c r="AL130" s="44">
        <v>170</v>
      </c>
      <c r="AM130" s="33">
        <v>149</v>
      </c>
      <c r="AN130" s="44">
        <f>+AL130-AM130</f>
        <v>21</v>
      </c>
      <c r="AO130" s="44">
        <v>62</v>
      </c>
      <c r="AP130" s="33">
        <v>51</v>
      </c>
      <c r="AQ130" s="33">
        <f>+AO130-AP130</f>
        <v>11</v>
      </c>
      <c r="AR130" s="33"/>
      <c r="AS130" s="33">
        <v>41</v>
      </c>
      <c r="AT130" s="33"/>
      <c r="AU130" s="33"/>
      <c r="AV130" s="33"/>
      <c r="AW130" s="33"/>
      <c r="AX130" s="33"/>
      <c r="AY130" s="33"/>
      <c r="AZ130" s="33"/>
      <c r="BA130" s="33">
        <v>182</v>
      </c>
      <c r="BB130" s="33">
        <v>182</v>
      </c>
      <c r="BC130" s="33">
        <v>151</v>
      </c>
      <c r="BD130" s="33">
        <v>31</v>
      </c>
      <c r="BE130" s="44">
        <v>169</v>
      </c>
      <c r="BF130" s="33">
        <v>148</v>
      </c>
      <c r="BG130" s="44">
        <f>+BE130-BF130</f>
        <v>21</v>
      </c>
      <c r="BH130" s="33">
        <v>67</v>
      </c>
      <c r="BI130" s="33">
        <v>59</v>
      </c>
      <c r="BJ130" s="33">
        <v>8</v>
      </c>
      <c r="BK130" s="33"/>
      <c r="BL130" s="33">
        <v>31</v>
      </c>
      <c r="BM130" s="33"/>
      <c r="BN130" s="33"/>
      <c r="BO130" s="33"/>
      <c r="BP130" s="33"/>
      <c r="BQ130" s="33"/>
      <c r="BR130" s="33"/>
      <c r="BS130" s="33"/>
      <c r="BT130" s="33">
        <f>70+75</f>
        <v>145</v>
      </c>
      <c r="BU130" s="33">
        <f>27+35</f>
        <v>62</v>
      </c>
      <c r="BV130" s="33">
        <f>9+10</f>
        <v>19</v>
      </c>
      <c r="BW130" s="33">
        <v>4</v>
      </c>
      <c r="BX130" s="33"/>
      <c r="BY130" s="33">
        <v>4</v>
      </c>
      <c r="BZ130" s="33">
        <f>14+8+7+10+9+5</f>
        <v>53</v>
      </c>
      <c r="CA130" s="33">
        <v>6</v>
      </c>
      <c r="CB130" s="33">
        <v>2</v>
      </c>
      <c r="CC130" s="33"/>
      <c r="CD130" s="33"/>
      <c r="CE130" s="33"/>
      <c r="CF130" s="33"/>
      <c r="CG130" s="33"/>
      <c r="CH130" s="33"/>
      <c r="CI130" s="33"/>
      <c r="CJ130" s="33"/>
      <c r="CK130" s="33"/>
      <c r="CL130" s="33"/>
      <c r="CM130" s="33"/>
      <c r="CN130" s="35"/>
      <c r="CO130" s="35"/>
      <c r="CP130" s="35"/>
      <c r="CQ130" s="35"/>
      <c r="CR130" s="35"/>
      <c r="CS130" s="35"/>
      <c r="CT130" s="35"/>
      <c r="CU130" s="35"/>
      <c r="CV130" s="35"/>
      <c r="CW130" s="35"/>
      <c r="CX130" s="35"/>
      <c r="CY130" s="35"/>
    </row>
    <row r="131" spans="1:103" s="36" customFormat="1" x14ac:dyDescent="0.2">
      <c r="A131" s="58">
        <v>122</v>
      </c>
      <c r="B131" s="14" t="s">
        <v>1429</v>
      </c>
      <c r="C131" s="30" t="s">
        <v>79</v>
      </c>
      <c r="D131" s="31" t="s">
        <v>1019</v>
      </c>
      <c r="E131" s="29"/>
      <c r="F131" s="31">
        <v>1984</v>
      </c>
      <c r="G131" s="32" t="s">
        <v>1061</v>
      </c>
      <c r="H131" s="41"/>
      <c r="I131" s="31" t="s">
        <v>8</v>
      </c>
      <c r="J131" s="32" t="s">
        <v>431</v>
      </c>
      <c r="K131" s="32" t="s">
        <v>1471</v>
      </c>
      <c r="L131" s="31" t="s">
        <v>31</v>
      </c>
      <c r="M131" s="15" t="s">
        <v>25</v>
      </c>
      <c r="N131" s="31" t="s">
        <v>201</v>
      </c>
      <c r="O131" s="31" t="s">
        <v>404</v>
      </c>
      <c r="P131" s="15" t="s">
        <v>285</v>
      </c>
      <c r="Q131" s="32" t="s">
        <v>313</v>
      </c>
      <c r="R131" s="32" t="s">
        <v>1092</v>
      </c>
      <c r="S131" s="31" t="s">
        <v>1093</v>
      </c>
      <c r="T131" s="31" t="s">
        <v>1094</v>
      </c>
      <c r="U131" s="31">
        <v>10</v>
      </c>
      <c r="V131" s="57">
        <f t="shared" ref="V131:V193" si="18">+U131</f>
        <v>10</v>
      </c>
      <c r="W131" s="57" t="str">
        <f t="shared" si="16"/>
        <v>L</v>
      </c>
      <c r="X131" s="31" t="s">
        <v>13</v>
      </c>
      <c r="Y131" s="31" t="s">
        <v>14</v>
      </c>
      <c r="Z131" s="31" t="s">
        <v>23</v>
      </c>
      <c r="AA131" s="31" t="s">
        <v>1095</v>
      </c>
      <c r="AB131" s="31">
        <v>10</v>
      </c>
      <c r="AC131" s="15">
        <f t="shared" ref="AC131:AC192" si="19">+AB131</f>
        <v>10</v>
      </c>
      <c r="AD131" s="15" t="str">
        <f t="shared" ref="AD131:AD194" si="20">+IF(AC131&lt;6,"S","L")</f>
        <v>L</v>
      </c>
      <c r="AE131" s="31" t="s">
        <v>131</v>
      </c>
      <c r="AF131" s="31" t="s">
        <v>388</v>
      </c>
      <c r="AG131" s="33">
        <f>73+72</f>
        <v>145</v>
      </c>
      <c r="AH131" s="33">
        <v>71</v>
      </c>
      <c r="AI131" s="33">
        <v>71</v>
      </c>
      <c r="AJ131" s="33">
        <v>51</v>
      </c>
      <c r="AK131" s="33">
        <f>+AI131-AJ131</f>
        <v>20</v>
      </c>
      <c r="AL131" s="44">
        <v>56</v>
      </c>
      <c r="AM131" s="33">
        <v>40</v>
      </c>
      <c r="AN131" s="44">
        <v>16</v>
      </c>
      <c r="AO131" s="44">
        <v>32</v>
      </c>
      <c r="AP131" s="33">
        <v>28</v>
      </c>
      <c r="AQ131" s="33">
        <v>4</v>
      </c>
      <c r="AR131" s="33"/>
      <c r="AS131" s="33">
        <v>4</v>
      </c>
      <c r="AT131" s="33"/>
      <c r="AU131" s="33">
        <v>0</v>
      </c>
      <c r="AV131" s="33"/>
      <c r="AW131" s="33">
        <v>0</v>
      </c>
      <c r="AX131" s="33"/>
      <c r="AY131" s="33"/>
      <c r="AZ131" s="33"/>
      <c r="BA131" s="33">
        <v>68</v>
      </c>
      <c r="BB131" s="33">
        <v>68</v>
      </c>
      <c r="BC131" s="33">
        <v>55</v>
      </c>
      <c r="BD131" s="33">
        <v>13</v>
      </c>
      <c r="BE131" s="44">
        <v>52</v>
      </c>
      <c r="BF131" s="33">
        <v>44</v>
      </c>
      <c r="BG131" s="44">
        <v>8</v>
      </c>
      <c r="BH131" s="33">
        <v>28</v>
      </c>
      <c r="BI131" s="33">
        <v>25</v>
      </c>
      <c r="BJ131" s="33">
        <v>3</v>
      </c>
      <c r="BK131" s="33"/>
      <c r="BL131" s="33">
        <v>3</v>
      </c>
      <c r="BM131" s="33"/>
      <c r="BN131" s="33">
        <v>0</v>
      </c>
      <c r="BO131" s="33"/>
      <c r="BP131" s="33">
        <v>0</v>
      </c>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5"/>
      <c r="CO131" s="35"/>
      <c r="CP131" s="35"/>
      <c r="CQ131" s="35"/>
      <c r="CR131" s="35"/>
      <c r="CS131" s="35"/>
      <c r="CT131" s="35"/>
      <c r="CU131" s="35"/>
      <c r="CV131" s="35"/>
      <c r="CW131" s="35"/>
      <c r="CX131" s="35"/>
      <c r="CY131" s="35"/>
    </row>
    <row r="132" spans="1:103" s="36" customFormat="1" x14ac:dyDescent="0.2">
      <c r="A132" s="58">
        <v>123</v>
      </c>
      <c r="B132" s="14" t="s">
        <v>1429</v>
      </c>
      <c r="C132" s="30" t="s">
        <v>79</v>
      </c>
      <c r="D132" s="31" t="s">
        <v>89</v>
      </c>
      <c r="E132" s="29"/>
      <c r="F132" s="31">
        <v>2011</v>
      </c>
      <c r="G132" s="32" t="s">
        <v>1052</v>
      </c>
      <c r="H132" s="41"/>
      <c r="I132" s="31" t="s">
        <v>8</v>
      </c>
      <c r="J132" s="32" t="s">
        <v>431</v>
      </c>
      <c r="K132" s="32" t="s">
        <v>1471</v>
      </c>
      <c r="L132" s="31" t="s">
        <v>31</v>
      </c>
      <c r="M132" s="15" t="s">
        <v>25</v>
      </c>
      <c r="N132" s="31" t="s">
        <v>201</v>
      </c>
      <c r="O132" s="31" t="s">
        <v>404</v>
      </c>
      <c r="P132" s="15" t="s">
        <v>285</v>
      </c>
      <c r="Q132" s="32" t="s">
        <v>313</v>
      </c>
      <c r="R132" s="32" t="s">
        <v>1098</v>
      </c>
      <c r="S132" s="31" t="s">
        <v>22</v>
      </c>
      <c r="T132" s="31" t="s">
        <v>1096</v>
      </c>
      <c r="U132" s="31">
        <v>7</v>
      </c>
      <c r="V132" s="57">
        <f t="shared" si="18"/>
        <v>7</v>
      </c>
      <c r="W132" s="57" t="str">
        <f t="shared" si="16"/>
        <v>L</v>
      </c>
      <c r="X132" s="31" t="s">
        <v>407</v>
      </c>
      <c r="Y132" s="31" t="s">
        <v>14</v>
      </c>
      <c r="Z132" s="31" t="s">
        <v>33</v>
      </c>
      <c r="AA132" s="31" t="s">
        <v>1097</v>
      </c>
      <c r="AB132" s="31">
        <v>7</v>
      </c>
      <c r="AC132" s="15">
        <f t="shared" si="19"/>
        <v>7</v>
      </c>
      <c r="AD132" s="15" t="str">
        <f t="shared" si="20"/>
        <v>L</v>
      </c>
      <c r="AE132" s="31" t="s">
        <v>13</v>
      </c>
      <c r="AF132" s="31" t="s">
        <v>14</v>
      </c>
      <c r="AG132" s="33">
        <v>252</v>
      </c>
      <c r="AH132" s="33">
        <v>130</v>
      </c>
      <c r="AI132" s="33"/>
      <c r="AJ132" s="33"/>
      <c r="AK132" s="33"/>
      <c r="AL132" s="44">
        <v>109</v>
      </c>
      <c r="AM132" s="33">
        <v>102</v>
      </c>
      <c r="AN132" s="44">
        <v>7</v>
      </c>
      <c r="AO132" s="44">
        <v>46</v>
      </c>
      <c r="AP132" s="33">
        <v>34</v>
      </c>
      <c r="AQ132" s="33">
        <v>12</v>
      </c>
      <c r="AR132" s="33"/>
      <c r="AS132" s="33">
        <v>42</v>
      </c>
      <c r="AT132" s="33"/>
      <c r="AU132" s="33"/>
      <c r="AV132" s="33"/>
      <c r="AW132" s="33">
        <v>0</v>
      </c>
      <c r="AX132" s="33"/>
      <c r="AY132" s="33"/>
      <c r="AZ132" s="33"/>
      <c r="BA132" s="33">
        <v>120</v>
      </c>
      <c r="BB132" s="33"/>
      <c r="BC132" s="33"/>
      <c r="BD132" s="33"/>
      <c r="BE132" s="44">
        <v>98</v>
      </c>
      <c r="BF132" s="33">
        <v>86</v>
      </c>
      <c r="BG132" s="44">
        <f t="shared" ref="BG132:BG141" si="21">+BE132-BF132</f>
        <v>12</v>
      </c>
      <c r="BH132" s="33">
        <v>40</v>
      </c>
      <c r="BI132" s="33">
        <v>40</v>
      </c>
      <c r="BJ132" s="33">
        <v>0</v>
      </c>
      <c r="BK132" s="33"/>
      <c r="BL132" s="33">
        <v>39</v>
      </c>
      <c r="BM132" s="33"/>
      <c r="BN132" s="33"/>
      <c r="BO132" s="33"/>
      <c r="BP132" s="33">
        <v>0</v>
      </c>
      <c r="BQ132" s="33"/>
      <c r="BR132" s="33"/>
      <c r="BS132" s="33"/>
      <c r="BT132" s="33">
        <f>10+35+31+15+1+10+1+5</f>
        <v>108</v>
      </c>
      <c r="BU132" s="33">
        <f>15+20</f>
        <v>35</v>
      </c>
      <c r="BV132" s="33">
        <f>31+15</f>
        <v>46</v>
      </c>
      <c r="BW132" s="33">
        <v>1</v>
      </c>
      <c r="BX132" s="33"/>
      <c r="BY132" s="33">
        <v>10</v>
      </c>
      <c r="BZ132" s="33">
        <v>5</v>
      </c>
      <c r="CA132" s="33"/>
      <c r="CB132" s="33"/>
      <c r="CC132" s="33"/>
      <c r="CD132" s="33"/>
      <c r="CE132" s="33"/>
      <c r="CF132" s="33"/>
      <c r="CG132" s="33"/>
      <c r="CH132" s="33"/>
      <c r="CI132" s="33"/>
      <c r="CJ132" s="33"/>
      <c r="CK132" s="33"/>
      <c r="CL132" s="33"/>
      <c r="CM132" s="33"/>
      <c r="CN132" s="35"/>
      <c r="CO132" s="35"/>
      <c r="CP132" s="35"/>
      <c r="CQ132" s="35"/>
      <c r="CR132" s="35"/>
      <c r="CS132" s="35"/>
      <c r="CT132" s="35"/>
      <c r="CU132" s="35"/>
      <c r="CV132" s="35"/>
      <c r="CW132" s="35"/>
      <c r="CX132" s="35"/>
      <c r="CY132" s="35"/>
    </row>
    <row r="133" spans="1:103" s="25" customFormat="1" x14ac:dyDescent="0.2">
      <c r="A133" s="58">
        <v>124</v>
      </c>
      <c r="B133" s="14" t="s">
        <v>1429</v>
      </c>
      <c r="C133" s="14" t="s">
        <v>79</v>
      </c>
      <c r="D133" s="15" t="s">
        <v>117</v>
      </c>
      <c r="E133" s="15"/>
      <c r="F133" s="15">
        <v>2003</v>
      </c>
      <c r="G133" s="16" t="s">
        <v>120</v>
      </c>
      <c r="H133" s="24" t="s">
        <v>1124</v>
      </c>
      <c r="I133" s="15" t="s">
        <v>8</v>
      </c>
      <c r="J133" s="16" t="s">
        <v>1112</v>
      </c>
      <c r="K133" s="16" t="s">
        <v>1473</v>
      </c>
      <c r="L133" s="15" t="s">
        <v>31</v>
      </c>
      <c r="M133" s="15" t="s">
        <v>11</v>
      </c>
      <c r="N133" s="15" t="s">
        <v>201</v>
      </c>
      <c r="O133" s="15" t="s">
        <v>458</v>
      </c>
      <c r="P133" s="15" t="s">
        <v>285</v>
      </c>
      <c r="Q133" s="16" t="s">
        <v>1118</v>
      </c>
      <c r="R133" s="16" t="s">
        <v>1113</v>
      </c>
      <c r="S133" s="15" t="s">
        <v>54</v>
      </c>
      <c r="T133" s="15" t="s">
        <v>903</v>
      </c>
      <c r="U133" s="15">
        <v>7</v>
      </c>
      <c r="V133" s="57">
        <f t="shared" si="18"/>
        <v>7</v>
      </c>
      <c r="W133" s="57" t="str">
        <f t="shared" si="16"/>
        <v>L</v>
      </c>
      <c r="X133" s="15" t="s">
        <v>16</v>
      </c>
      <c r="Y133" s="15" t="s">
        <v>14</v>
      </c>
      <c r="Z133" s="31" t="s">
        <v>531</v>
      </c>
      <c r="AA133" s="15" t="s">
        <v>1114</v>
      </c>
      <c r="AB133" s="15">
        <v>7</v>
      </c>
      <c r="AC133" s="15">
        <f t="shared" si="19"/>
        <v>7</v>
      </c>
      <c r="AD133" s="15" t="str">
        <f t="shared" si="20"/>
        <v>L</v>
      </c>
      <c r="AE133" s="15" t="s">
        <v>131</v>
      </c>
      <c r="AF133" s="15" t="s">
        <v>388</v>
      </c>
      <c r="AG133" s="17">
        <v>327</v>
      </c>
      <c r="AH133" s="17">
        <v>160</v>
      </c>
      <c r="AI133" s="17"/>
      <c r="AJ133" s="17"/>
      <c r="AK133" s="17"/>
      <c r="AL133" s="47">
        <v>124</v>
      </c>
      <c r="AM133" s="17">
        <v>114</v>
      </c>
      <c r="AN133" s="47">
        <v>10</v>
      </c>
      <c r="AO133" s="47">
        <v>74</v>
      </c>
      <c r="AP133" s="17">
        <v>67</v>
      </c>
      <c r="AQ133" s="17">
        <v>7</v>
      </c>
      <c r="AR133" s="17"/>
      <c r="AS133" s="17"/>
      <c r="AT133" s="17"/>
      <c r="AU133" s="17"/>
      <c r="AV133" s="17"/>
      <c r="AW133" s="17"/>
      <c r="AX133" s="17"/>
      <c r="AY133" s="17"/>
      <c r="AZ133" s="17"/>
      <c r="BA133" s="17">
        <v>167</v>
      </c>
      <c r="BB133" s="17"/>
      <c r="BC133" s="17"/>
      <c r="BD133" s="17"/>
      <c r="BE133" s="47">
        <v>129</v>
      </c>
      <c r="BF133" s="17">
        <v>117</v>
      </c>
      <c r="BG133" s="47">
        <f t="shared" si="21"/>
        <v>12</v>
      </c>
      <c r="BH133" s="17">
        <v>85</v>
      </c>
      <c r="BI133" s="17">
        <v>80</v>
      </c>
      <c r="BJ133" s="17">
        <v>5</v>
      </c>
      <c r="BK133" s="17"/>
      <c r="BL133" s="17"/>
      <c r="BM133" s="17"/>
      <c r="BN133" s="17"/>
      <c r="BO133" s="17"/>
      <c r="BP133" s="17"/>
      <c r="BQ133" s="17"/>
      <c r="BR133" s="17"/>
      <c r="BS133" s="17"/>
      <c r="BT133" s="17">
        <f>113+135</f>
        <v>248</v>
      </c>
      <c r="BU133" s="17">
        <f>36+39</f>
        <v>75</v>
      </c>
      <c r="BV133" s="17">
        <f>43+47</f>
        <v>90</v>
      </c>
      <c r="BW133" s="17"/>
      <c r="BX133" s="17"/>
      <c r="BY133" s="17">
        <f>6+9</f>
        <v>15</v>
      </c>
      <c r="BZ133" s="17"/>
      <c r="CA133" s="17"/>
      <c r="CB133" s="17"/>
      <c r="CC133" s="17"/>
      <c r="CD133" s="17"/>
      <c r="CE133" s="17"/>
      <c r="CF133" s="17"/>
      <c r="CG133" s="17"/>
      <c r="CH133" s="17"/>
      <c r="CI133" s="17"/>
      <c r="CJ133" s="17"/>
      <c r="CK133" s="17"/>
      <c r="CL133" s="17"/>
      <c r="CM133" s="17"/>
      <c r="CN133" s="18"/>
      <c r="CO133" s="18"/>
      <c r="CP133" s="18"/>
      <c r="CQ133" s="18"/>
      <c r="CR133" s="18"/>
      <c r="CS133" s="18"/>
      <c r="CT133" s="18"/>
      <c r="CU133" s="18"/>
      <c r="CV133" s="18"/>
      <c r="CW133" s="18"/>
      <c r="CX133" s="18"/>
      <c r="CY133" s="18"/>
    </row>
    <row r="134" spans="1:103" s="25" customFormat="1" x14ac:dyDescent="0.2">
      <c r="A134" s="58">
        <v>125</v>
      </c>
      <c r="B134" s="14" t="s">
        <v>1429</v>
      </c>
      <c r="C134" s="14" t="s">
        <v>79</v>
      </c>
      <c r="D134" s="15" t="s">
        <v>52</v>
      </c>
      <c r="E134" s="15" t="s">
        <v>384</v>
      </c>
      <c r="F134" s="15">
        <v>2005</v>
      </c>
      <c r="G134" s="16" t="s">
        <v>408</v>
      </c>
      <c r="H134" s="24" t="s">
        <v>409</v>
      </c>
      <c r="I134" s="15" t="s">
        <v>8</v>
      </c>
      <c r="J134" s="16" t="s">
        <v>118</v>
      </c>
      <c r="K134" s="16" t="s">
        <v>1473</v>
      </c>
      <c r="L134" s="15" t="s">
        <v>31</v>
      </c>
      <c r="M134" s="15" t="s">
        <v>11</v>
      </c>
      <c r="N134" s="15" t="s">
        <v>201</v>
      </c>
      <c r="O134" s="15" t="s">
        <v>404</v>
      </c>
      <c r="P134" s="15" t="s">
        <v>285</v>
      </c>
      <c r="Q134" s="15" t="s">
        <v>313</v>
      </c>
      <c r="R134" s="16" t="s">
        <v>406</v>
      </c>
      <c r="S134" s="15" t="s">
        <v>50</v>
      </c>
      <c r="T134" s="15" t="s">
        <v>710</v>
      </c>
      <c r="U134" s="15">
        <v>7</v>
      </c>
      <c r="V134" s="57">
        <f t="shared" si="18"/>
        <v>7</v>
      </c>
      <c r="W134" s="57" t="str">
        <f t="shared" si="16"/>
        <v>L</v>
      </c>
      <c r="X134" s="15" t="s">
        <v>16</v>
      </c>
      <c r="Y134" s="15" t="s">
        <v>14</v>
      </c>
      <c r="Z134" s="31" t="s">
        <v>33</v>
      </c>
      <c r="AA134" s="15" t="s">
        <v>405</v>
      </c>
      <c r="AB134" s="15">
        <v>7</v>
      </c>
      <c r="AC134" s="15">
        <f t="shared" si="19"/>
        <v>7</v>
      </c>
      <c r="AD134" s="15" t="str">
        <f t="shared" si="20"/>
        <v>L</v>
      </c>
      <c r="AE134" s="16" t="s">
        <v>13</v>
      </c>
      <c r="AF134" s="15" t="s">
        <v>14</v>
      </c>
      <c r="AG134" s="17">
        <f>213+214</f>
        <v>427</v>
      </c>
      <c r="AH134" s="17">
        <v>213</v>
      </c>
      <c r="AI134" s="17">
        <v>211</v>
      </c>
      <c r="AJ134" s="17">
        <v>180</v>
      </c>
      <c r="AK134" s="17">
        <f>+AI134-AJ134</f>
        <v>31</v>
      </c>
      <c r="AL134" s="47">
        <v>174</v>
      </c>
      <c r="AM134" s="17">
        <v>156</v>
      </c>
      <c r="AN134" s="47">
        <f t="shared" ref="AN134:AN141" si="22">+AL134-AM134</f>
        <v>18</v>
      </c>
      <c r="AO134" s="47">
        <v>91</v>
      </c>
      <c r="AP134" s="17">
        <v>82</v>
      </c>
      <c r="AQ134" s="17">
        <f t="shared" ref="AQ134:AQ141" si="23">+AO134-AP134</f>
        <v>9</v>
      </c>
      <c r="AR134" s="17">
        <v>0</v>
      </c>
      <c r="AS134" s="17">
        <v>84</v>
      </c>
      <c r="AT134" s="17"/>
      <c r="AU134" s="17">
        <v>8</v>
      </c>
      <c r="AV134" s="17">
        <v>2</v>
      </c>
      <c r="AW134" s="17">
        <v>1</v>
      </c>
      <c r="AX134" s="17"/>
      <c r="AY134" s="17"/>
      <c r="AZ134" s="17"/>
      <c r="BA134" s="17">
        <v>214</v>
      </c>
      <c r="BB134" s="17">
        <v>212</v>
      </c>
      <c r="BC134" s="17">
        <v>189</v>
      </c>
      <c r="BD134" s="17">
        <v>23</v>
      </c>
      <c r="BE134" s="47">
        <v>189</v>
      </c>
      <c r="BF134" s="17">
        <v>177</v>
      </c>
      <c r="BG134" s="47">
        <f t="shared" si="21"/>
        <v>12</v>
      </c>
      <c r="BH134" s="17">
        <v>104</v>
      </c>
      <c r="BI134" s="17">
        <v>96</v>
      </c>
      <c r="BJ134" s="17">
        <f>+BH134-BI134</f>
        <v>8</v>
      </c>
      <c r="BK134" s="17">
        <v>1</v>
      </c>
      <c r="BL134" s="17">
        <v>65</v>
      </c>
      <c r="BM134" s="17"/>
      <c r="BN134" s="17">
        <v>6</v>
      </c>
      <c r="BO134" s="17">
        <v>4</v>
      </c>
      <c r="BP134" s="17">
        <v>2</v>
      </c>
      <c r="BQ134" s="17"/>
      <c r="BR134" s="17"/>
      <c r="BS134" s="17"/>
      <c r="BT134" s="17">
        <f>107+21+25+112</f>
        <v>265</v>
      </c>
      <c r="BU134" s="17">
        <f>15+13</f>
        <v>28</v>
      </c>
      <c r="BV134" s="17">
        <v>26</v>
      </c>
      <c r="BW134" s="17"/>
      <c r="BX134" s="17"/>
      <c r="BY134" s="17">
        <f>14+27+2</f>
        <v>43</v>
      </c>
      <c r="BZ134" s="17">
        <f>44+19+9</f>
        <v>72</v>
      </c>
      <c r="CA134" s="17"/>
      <c r="CB134" s="17"/>
      <c r="CC134" s="17"/>
      <c r="CD134" s="17"/>
      <c r="CE134" s="17"/>
      <c r="CF134" s="17"/>
      <c r="CG134" s="17"/>
      <c r="CH134" s="17"/>
      <c r="CI134" s="17"/>
      <c r="CJ134" s="17"/>
      <c r="CK134" s="17"/>
      <c r="CL134" s="17"/>
      <c r="CM134" s="17"/>
      <c r="CN134" s="18"/>
      <c r="CO134" s="18"/>
      <c r="CP134" s="18"/>
      <c r="CQ134" s="18"/>
      <c r="CR134" s="18"/>
      <c r="CS134" s="18"/>
      <c r="CT134" s="18"/>
      <c r="CU134" s="18"/>
      <c r="CV134" s="18"/>
      <c r="CW134" s="18"/>
      <c r="CX134" s="18"/>
      <c r="CY134" s="18"/>
    </row>
    <row r="135" spans="1:103" s="25" customFormat="1" x14ac:dyDescent="0.2">
      <c r="A135" s="58">
        <v>126</v>
      </c>
      <c r="B135" s="14" t="s">
        <v>1429</v>
      </c>
      <c r="C135" s="14" t="s">
        <v>79</v>
      </c>
      <c r="D135" s="15" t="s">
        <v>122</v>
      </c>
      <c r="E135" s="15"/>
      <c r="F135" s="15">
        <v>2002</v>
      </c>
      <c r="G135" s="16" t="s">
        <v>216</v>
      </c>
      <c r="H135" s="24"/>
      <c r="I135" s="15" t="s">
        <v>8</v>
      </c>
      <c r="J135" s="16" t="s">
        <v>35</v>
      </c>
      <c r="K135" s="16" t="s">
        <v>1472</v>
      </c>
      <c r="L135" s="15" t="s">
        <v>31</v>
      </c>
      <c r="M135" s="15" t="s">
        <v>11</v>
      </c>
      <c r="N135" s="15" t="s">
        <v>201</v>
      </c>
      <c r="O135" s="15" t="s">
        <v>404</v>
      </c>
      <c r="P135" s="15" t="s">
        <v>285</v>
      </c>
      <c r="Q135" s="16" t="s">
        <v>313</v>
      </c>
      <c r="R135" s="16" t="s">
        <v>123</v>
      </c>
      <c r="S135" s="15" t="s">
        <v>124</v>
      </c>
      <c r="T135" s="15" t="s">
        <v>1126</v>
      </c>
      <c r="U135" s="15">
        <v>14</v>
      </c>
      <c r="V135" s="57">
        <f t="shared" si="18"/>
        <v>14</v>
      </c>
      <c r="W135" s="57" t="str">
        <f t="shared" ref="W135:W198" si="24">+IF(V135&lt;6,"S","L")</f>
        <v>L</v>
      </c>
      <c r="X135" s="15" t="s">
        <v>511</v>
      </c>
      <c r="Y135" s="15" t="s">
        <v>14</v>
      </c>
      <c r="Z135" s="31" t="s">
        <v>531</v>
      </c>
      <c r="AA135" s="15" t="s">
        <v>1114</v>
      </c>
      <c r="AB135" s="15">
        <v>14</v>
      </c>
      <c r="AC135" s="15">
        <f t="shared" si="19"/>
        <v>14</v>
      </c>
      <c r="AD135" s="15" t="str">
        <f t="shared" si="20"/>
        <v>L</v>
      </c>
      <c r="AE135" s="15" t="s">
        <v>131</v>
      </c>
      <c r="AF135" s="15" t="s">
        <v>388</v>
      </c>
      <c r="AG135" s="17">
        <f>266+267</f>
        <v>533</v>
      </c>
      <c r="AH135" s="17">
        <v>266</v>
      </c>
      <c r="AI135" s="17"/>
      <c r="AJ135" s="17"/>
      <c r="AK135" s="17"/>
      <c r="AL135" s="47">
        <v>142</v>
      </c>
      <c r="AM135" s="17">
        <v>125</v>
      </c>
      <c r="AN135" s="47">
        <f t="shared" si="22"/>
        <v>17</v>
      </c>
      <c r="AO135" s="47">
        <v>123</v>
      </c>
      <c r="AP135" s="17">
        <v>109</v>
      </c>
      <c r="AQ135" s="17">
        <f t="shared" si="23"/>
        <v>14</v>
      </c>
      <c r="AR135" s="17"/>
      <c r="AS135" s="17"/>
      <c r="AT135" s="17"/>
      <c r="AU135" s="17"/>
      <c r="AV135" s="17"/>
      <c r="AW135" s="17"/>
      <c r="AX135" s="17"/>
      <c r="AY135" s="17"/>
      <c r="AZ135" s="17"/>
      <c r="BA135" s="17">
        <v>267</v>
      </c>
      <c r="BB135" s="17"/>
      <c r="BC135" s="17"/>
      <c r="BD135" s="17"/>
      <c r="BE135" s="47">
        <v>144</v>
      </c>
      <c r="BF135" s="17">
        <v>130</v>
      </c>
      <c r="BG135" s="47">
        <f t="shared" si="21"/>
        <v>14</v>
      </c>
      <c r="BH135" s="17">
        <v>115</v>
      </c>
      <c r="BI135" s="17">
        <v>95</v>
      </c>
      <c r="BJ135" s="17">
        <v>20</v>
      </c>
      <c r="BK135" s="17"/>
      <c r="BL135" s="17"/>
      <c r="BM135" s="17"/>
      <c r="BN135" s="17"/>
      <c r="BO135" s="17"/>
      <c r="BP135" s="17"/>
      <c r="BQ135" s="17"/>
      <c r="BR135" s="17"/>
      <c r="BS135" s="17"/>
      <c r="BT135" s="17">
        <v>521</v>
      </c>
      <c r="BU135" s="17">
        <v>82</v>
      </c>
      <c r="BV135" s="17">
        <v>119</v>
      </c>
      <c r="BW135" s="17">
        <v>12</v>
      </c>
      <c r="BX135" s="17"/>
      <c r="BY135" s="17">
        <v>48</v>
      </c>
      <c r="BZ135" s="17"/>
      <c r="CA135" s="17"/>
      <c r="CB135" s="17">
        <v>5</v>
      </c>
      <c r="CC135" s="17"/>
      <c r="CD135" s="17"/>
      <c r="CE135" s="17"/>
      <c r="CF135" s="17"/>
      <c r="CG135" s="17"/>
      <c r="CH135" s="17"/>
      <c r="CI135" s="17"/>
      <c r="CJ135" s="17"/>
      <c r="CK135" s="17"/>
      <c r="CL135" s="17"/>
      <c r="CM135" s="17"/>
      <c r="CN135" s="18"/>
      <c r="CO135" s="18"/>
      <c r="CP135" s="18"/>
      <c r="CQ135" s="18"/>
      <c r="CR135" s="18"/>
      <c r="CS135" s="18"/>
      <c r="CT135" s="18"/>
      <c r="CU135" s="18"/>
      <c r="CV135" s="18"/>
      <c r="CW135" s="18"/>
      <c r="CX135" s="18"/>
      <c r="CY135" s="18"/>
    </row>
    <row r="136" spans="1:103" s="25" customFormat="1" x14ac:dyDescent="0.2">
      <c r="A136" s="58">
        <v>126</v>
      </c>
      <c r="B136" s="14" t="s">
        <v>1430</v>
      </c>
      <c r="C136" s="14" t="s">
        <v>79</v>
      </c>
      <c r="D136" s="15" t="s">
        <v>122</v>
      </c>
      <c r="E136" s="15"/>
      <c r="F136" s="15">
        <v>2002</v>
      </c>
      <c r="G136" s="16" t="s">
        <v>216</v>
      </c>
      <c r="H136" s="24"/>
      <c r="I136" s="15" t="s">
        <v>8</v>
      </c>
      <c r="J136" s="16" t="s">
        <v>35</v>
      </c>
      <c r="K136" s="16" t="s">
        <v>1472</v>
      </c>
      <c r="L136" s="15" t="s">
        <v>31</v>
      </c>
      <c r="M136" s="15" t="s">
        <v>11</v>
      </c>
      <c r="N136" s="15" t="s">
        <v>201</v>
      </c>
      <c r="O136" s="15" t="s">
        <v>404</v>
      </c>
      <c r="P136" s="15" t="s">
        <v>285</v>
      </c>
      <c r="Q136" s="15" t="s">
        <v>313</v>
      </c>
      <c r="R136" s="16" t="s">
        <v>123</v>
      </c>
      <c r="S136" s="15" t="s">
        <v>124</v>
      </c>
      <c r="T136" s="15" t="s">
        <v>1125</v>
      </c>
      <c r="U136" s="15">
        <v>14</v>
      </c>
      <c r="V136" s="57">
        <f t="shared" si="18"/>
        <v>14</v>
      </c>
      <c r="W136" s="57" t="str">
        <f t="shared" si="24"/>
        <v>L</v>
      </c>
      <c r="X136" s="15" t="s">
        <v>511</v>
      </c>
      <c r="Y136" s="15" t="s">
        <v>14</v>
      </c>
      <c r="Z136" s="31" t="s">
        <v>531</v>
      </c>
      <c r="AA136" s="15" t="s">
        <v>1114</v>
      </c>
      <c r="AB136" s="15">
        <v>14</v>
      </c>
      <c r="AC136" s="15">
        <f t="shared" si="19"/>
        <v>14</v>
      </c>
      <c r="AD136" s="15" t="str">
        <f t="shared" si="20"/>
        <v>L</v>
      </c>
      <c r="AE136" s="16" t="s">
        <v>131</v>
      </c>
      <c r="AF136" s="15" t="s">
        <v>388</v>
      </c>
      <c r="AG136" s="17">
        <f>269+267</f>
        <v>536</v>
      </c>
      <c r="AH136" s="17">
        <v>269</v>
      </c>
      <c r="AI136" s="17"/>
      <c r="AJ136" s="17"/>
      <c r="AK136" s="17"/>
      <c r="AL136" s="47">
        <v>159</v>
      </c>
      <c r="AM136" s="17">
        <v>143</v>
      </c>
      <c r="AN136" s="47">
        <f t="shared" si="22"/>
        <v>16</v>
      </c>
      <c r="AO136" s="47">
        <v>115</v>
      </c>
      <c r="AP136" s="17">
        <v>95</v>
      </c>
      <c r="AQ136" s="17">
        <f t="shared" si="23"/>
        <v>20</v>
      </c>
      <c r="AR136" s="17"/>
      <c r="AS136" s="17"/>
      <c r="AT136" s="17"/>
      <c r="AU136" s="17"/>
      <c r="AV136" s="17"/>
      <c r="AW136" s="17"/>
      <c r="AX136" s="17"/>
      <c r="AY136" s="17"/>
      <c r="AZ136" s="17"/>
      <c r="BA136" s="17">
        <v>267</v>
      </c>
      <c r="BB136" s="17"/>
      <c r="BC136" s="17"/>
      <c r="BD136" s="17"/>
      <c r="BE136" s="47">
        <v>144</v>
      </c>
      <c r="BF136" s="17">
        <v>130</v>
      </c>
      <c r="BG136" s="47">
        <f t="shared" si="21"/>
        <v>14</v>
      </c>
      <c r="BH136" s="17">
        <v>115</v>
      </c>
      <c r="BI136" s="17">
        <v>95</v>
      </c>
      <c r="BJ136" s="17">
        <v>20</v>
      </c>
      <c r="BK136" s="17"/>
      <c r="BL136" s="17"/>
      <c r="BM136" s="17"/>
      <c r="BN136" s="17"/>
      <c r="BO136" s="17"/>
      <c r="BP136" s="17"/>
      <c r="BQ136" s="17"/>
      <c r="BR136" s="17"/>
      <c r="BS136" s="17"/>
      <c r="BT136" s="17">
        <v>521</v>
      </c>
      <c r="BU136" s="17">
        <v>82</v>
      </c>
      <c r="BV136" s="17">
        <v>119</v>
      </c>
      <c r="BW136" s="17">
        <v>12</v>
      </c>
      <c r="BX136" s="17"/>
      <c r="BY136" s="17">
        <v>48</v>
      </c>
      <c r="BZ136" s="17"/>
      <c r="CA136" s="17"/>
      <c r="CB136" s="17">
        <v>5</v>
      </c>
      <c r="CC136" s="17"/>
      <c r="CD136" s="17"/>
      <c r="CE136" s="17"/>
      <c r="CF136" s="17"/>
      <c r="CG136" s="17"/>
      <c r="CH136" s="17"/>
      <c r="CI136" s="17"/>
      <c r="CJ136" s="17"/>
      <c r="CK136" s="17"/>
      <c r="CL136" s="17"/>
      <c r="CM136" s="17"/>
      <c r="CN136" s="18"/>
      <c r="CO136" s="18"/>
      <c r="CP136" s="18"/>
      <c r="CQ136" s="18"/>
      <c r="CR136" s="18"/>
      <c r="CS136" s="18"/>
      <c r="CT136" s="18"/>
      <c r="CU136" s="18"/>
      <c r="CV136" s="18"/>
      <c r="CW136" s="18"/>
      <c r="CX136" s="18"/>
      <c r="CY136" s="18"/>
    </row>
    <row r="137" spans="1:103" s="25" customFormat="1" x14ac:dyDescent="0.2">
      <c r="A137" s="58">
        <v>127</v>
      </c>
      <c r="B137" s="14" t="s">
        <v>1429</v>
      </c>
      <c r="C137" s="14" t="s">
        <v>79</v>
      </c>
      <c r="D137" s="15" t="s">
        <v>125</v>
      </c>
      <c r="E137" s="15"/>
      <c r="F137" s="15">
        <v>2002</v>
      </c>
      <c r="G137" s="16" t="s">
        <v>126</v>
      </c>
      <c r="H137" s="16"/>
      <c r="I137" s="15" t="s">
        <v>8</v>
      </c>
      <c r="J137" s="16" t="s">
        <v>1116</v>
      </c>
      <c r="K137" s="16" t="s">
        <v>1472</v>
      </c>
      <c r="L137" s="15" t="s">
        <v>31</v>
      </c>
      <c r="M137" s="15" t="s">
        <v>11</v>
      </c>
      <c r="N137" s="15" t="s">
        <v>201</v>
      </c>
      <c r="O137" s="15" t="s">
        <v>404</v>
      </c>
      <c r="P137" s="15" t="s">
        <v>285</v>
      </c>
      <c r="Q137" s="16" t="s">
        <v>1118</v>
      </c>
      <c r="R137" s="16" t="s">
        <v>1117</v>
      </c>
      <c r="S137" s="15" t="s">
        <v>54</v>
      </c>
      <c r="T137" s="15" t="s">
        <v>903</v>
      </c>
      <c r="U137" s="15">
        <v>7</v>
      </c>
      <c r="V137" s="57">
        <f t="shared" si="18"/>
        <v>7</v>
      </c>
      <c r="W137" s="57" t="str">
        <f t="shared" si="24"/>
        <v>L</v>
      </c>
      <c r="X137" s="15" t="s">
        <v>16</v>
      </c>
      <c r="Y137" s="15" t="s">
        <v>14</v>
      </c>
      <c r="Z137" s="31" t="s">
        <v>33</v>
      </c>
      <c r="AA137" s="15" t="s">
        <v>1123</v>
      </c>
      <c r="AB137" s="15">
        <v>7</v>
      </c>
      <c r="AC137" s="15">
        <f t="shared" si="19"/>
        <v>7</v>
      </c>
      <c r="AD137" s="15" t="str">
        <f t="shared" si="20"/>
        <v>L</v>
      </c>
      <c r="AE137" s="15" t="s">
        <v>13</v>
      </c>
      <c r="AF137" s="15" t="s">
        <v>14</v>
      </c>
      <c r="AG137" s="17">
        <f>156+143</f>
        <v>299</v>
      </c>
      <c r="AH137" s="17">
        <v>156</v>
      </c>
      <c r="AI137" s="17"/>
      <c r="AJ137" s="17"/>
      <c r="AK137" s="17"/>
      <c r="AL137" s="47">
        <v>128</v>
      </c>
      <c r="AM137" s="17">
        <v>113</v>
      </c>
      <c r="AN137" s="47">
        <f t="shared" si="22"/>
        <v>15</v>
      </c>
      <c r="AO137" s="47">
        <v>154</v>
      </c>
      <c r="AP137" s="17">
        <v>134</v>
      </c>
      <c r="AQ137" s="17">
        <f t="shared" si="23"/>
        <v>20</v>
      </c>
      <c r="AR137" s="17"/>
      <c r="AS137" s="17"/>
      <c r="AT137" s="17"/>
      <c r="AU137" s="17">
        <v>5</v>
      </c>
      <c r="AV137" s="17"/>
      <c r="AW137" s="17"/>
      <c r="AX137" s="17"/>
      <c r="AY137" s="17"/>
      <c r="AZ137" s="17"/>
      <c r="BA137" s="17">
        <v>143</v>
      </c>
      <c r="BB137" s="17"/>
      <c r="BC137" s="17"/>
      <c r="BD137" s="17"/>
      <c r="BE137" s="47">
        <v>124</v>
      </c>
      <c r="BF137" s="17">
        <v>107</v>
      </c>
      <c r="BG137" s="47">
        <f t="shared" si="21"/>
        <v>17</v>
      </c>
      <c r="BH137" s="17">
        <v>155</v>
      </c>
      <c r="BI137" s="17">
        <v>136</v>
      </c>
      <c r="BJ137" s="17">
        <f>+BH137-BI137</f>
        <v>19</v>
      </c>
      <c r="BK137" s="17"/>
      <c r="BL137" s="17"/>
      <c r="BM137" s="17"/>
      <c r="BN137" s="17">
        <v>3</v>
      </c>
      <c r="BO137" s="17"/>
      <c r="BP137" s="17"/>
      <c r="BQ137" s="17"/>
      <c r="BR137" s="17"/>
      <c r="BS137" s="17"/>
      <c r="BT137" s="17">
        <f>154+155</f>
        <v>309</v>
      </c>
      <c r="BU137" s="17">
        <f>7+22</f>
        <v>29</v>
      </c>
      <c r="BV137" s="17">
        <f>28+32</f>
        <v>60</v>
      </c>
      <c r="BW137" s="17"/>
      <c r="BX137" s="17"/>
      <c r="BY137" s="17"/>
      <c r="BZ137" s="17">
        <f>28+39+26+35</f>
        <v>128</v>
      </c>
      <c r="CA137" s="17"/>
      <c r="CB137" s="17"/>
      <c r="CC137" s="17"/>
      <c r="CD137" s="17"/>
      <c r="CE137" s="17"/>
      <c r="CF137" s="17"/>
      <c r="CG137" s="17"/>
      <c r="CH137" s="17"/>
      <c r="CI137" s="17"/>
      <c r="CJ137" s="17"/>
      <c r="CK137" s="17"/>
      <c r="CL137" s="17"/>
      <c r="CM137" s="17"/>
      <c r="CN137" s="18"/>
      <c r="CO137" s="18"/>
      <c r="CP137" s="18"/>
      <c r="CQ137" s="18"/>
      <c r="CR137" s="18"/>
      <c r="CS137" s="18"/>
      <c r="CT137" s="18"/>
      <c r="CU137" s="18"/>
      <c r="CV137" s="18"/>
      <c r="CW137" s="18"/>
      <c r="CX137" s="18"/>
      <c r="CY137" s="18"/>
    </row>
    <row r="138" spans="1:103" s="25" customFormat="1" x14ac:dyDescent="0.2">
      <c r="A138" s="58">
        <v>128</v>
      </c>
      <c r="B138" s="14" t="s">
        <v>1429</v>
      </c>
      <c r="C138" s="14" t="s">
        <v>79</v>
      </c>
      <c r="D138" s="15" t="s">
        <v>127</v>
      </c>
      <c r="E138" s="15"/>
      <c r="F138" s="15">
        <v>2002</v>
      </c>
      <c r="G138" s="16" t="s">
        <v>334</v>
      </c>
      <c r="H138" s="16"/>
      <c r="I138" s="15" t="s">
        <v>8</v>
      </c>
      <c r="J138" s="16" t="s">
        <v>38</v>
      </c>
      <c r="K138" s="16" t="s">
        <v>1473</v>
      </c>
      <c r="L138" s="15" t="s">
        <v>31</v>
      </c>
      <c r="M138" s="15" t="s">
        <v>333</v>
      </c>
      <c r="N138" s="15" t="s">
        <v>201</v>
      </c>
      <c r="O138" s="15" t="s">
        <v>404</v>
      </c>
      <c r="P138" s="31" t="s">
        <v>333</v>
      </c>
      <c r="Q138" s="16" t="s">
        <v>313</v>
      </c>
      <c r="R138" s="16" t="s">
        <v>335</v>
      </c>
      <c r="S138" s="15" t="s">
        <v>22</v>
      </c>
      <c r="T138" s="15" t="s">
        <v>336</v>
      </c>
      <c r="U138" s="15">
        <v>10</v>
      </c>
      <c r="V138" s="57">
        <f t="shared" si="18"/>
        <v>10</v>
      </c>
      <c r="W138" s="57" t="str">
        <f t="shared" si="24"/>
        <v>L</v>
      </c>
      <c r="X138" s="15" t="s">
        <v>407</v>
      </c>
      <c r="Y138" s="15" t="s">
        <v>14</v>
      </c>
      <c r="Z138" s="31" t="s">
        <v>23</v>
      </c>
      <c r="AA138" s="15" t="s">
        <v>1115</v>
      </c>
      <c r="AB138" s="15">
        <v>10</v>
      </c>
      <c r="AC138" s="15">
        <f t="shared" si="19"/>
        <v>10</v>
      </c>
      <c r="AD138" s="15" t="str">
        <f t="shared" si="20"/>
        <v>L</v>
      </c>
      <c r="AE138" s="15" t="s">
        <v>131</v>
      </c>
      <c r="AF138" s="15" t="s">
        <v>388</v>
      </c>
      <c r="AG138" s="17">
        <f>199+205</f>
        <v>404</v>
      </c>
      <c r="AH138" s="17">
        <v>199</v>
      </c>
      <c r="AI138" s="17">
        <v>199</v>
      </c>
      <c r="AJ138" s="17">
        <v>171</v>
      </c>
      <c r="AK138" s="17">
        <f>+AI138-AJ138</f>
        <v>28</v>
      </c>
      <c r="AL138" s="47">
        <v>149</v>
      </c>
      <c r="AM138" s="17">
        <v>141</v>
      </c>
      <c r="AN138" s="47">
        <f t="shared" si="22"/>
        <v>8</v>
      </c>
      <c r="AO138" s="47">
        <v>48</v>
      </c>
      <c r="AP138" s="17">
        <v>42</v>
      </c>
      <c r="AQ138" s="17">
        <f t="shared" si="23"/>
        <v>6</v>
      </c>
      <c r="AR138" s="17"/>
      <c r="AS138" s="17">
        <v>110</v>
      </c>
      <c r="AT138" s="17"/>
      <c r="AU138" s="17"/>
      <c r="AV138" s="17"/>
      <c r="AW138" s="17">
        <v>2</v>
      </c>
      <c r="AX138" s="17"/>
      <c r="AY138" s="17"/>
      <c r="AZ138" s="17"/>
      <c r="BA138" s="17">
        <v>205</v>
      </c>
      <c r="BB138" s="17">
        <v>205</v>
      </c>
      <c r="BC138" s="17">
        <v>161</v>
      </c>
      <c r="BD138" s="17">
        <v>44</v>
      </c>
      <c r="BE138" s="47">
        <v>152</v>
      </c>
      <c r="BF138" s="17">
        <v>137</v>
      </c>
      <c r="BG138" s="47">
        <f t="shared" si="21"/>
        <v>15</v>
      </c>
      <c r="BH138" s="17">
        <v>45</v>
      </c>
      <c r="BI138" s="17">
        <v>39</v>
      </c>
      <c r="BJ138" s="17">
        <v>6</v>
      </c>
      <c r="BK138" s="17"/>
      <c r="BL138" s="17">
        <v>94</v>
      </c>
      <c r="BM138" s="17"/>
      <c r="BN138" s="17"/>
      <c r="BO138" s="17"/>
      <c r="BP138" s="17">
        <v>1</v>
      </c>
      <c r="BQ138" s="17"/>
      <c r="BR138" s="17"/>
      <c r="BS138" s="17"/>
      <c r="BT138" s="17">
        <f>62+62</f>
        <v>124</v>
      </c>
      <c r="BU138" s="17">
        <f>32+34</f>
        <v>66</v>
      </c>
      <c r="BV138" s="17">
        <f>19+19</f>
        <v>38</v>
      </c>
      <c r="BW138" s="17">
        <f>1+2</f>
        <v>3</v>
      </c>
      <c r="BX138" s="17"/>
      <c r="BY138" s="17">
        <v>5</v>
      </c>
      <c r="BZ138" s="17"/>
      <c r="CA138" s="17"/>
      <c r="CB138" s="17"/>
      <c r="CC138" s="17"/>
      <c r="CD138" s="17"/>
      <c r="CE138" s="17"/>
      <c r="CF138" s="17"/>
      <c r="CG138" s="17"/>
      <c r="CH138" s="17"/>
      <c r="CI138" s="17"/>
      <c r="CJ138" s="17"/>
      <c r="CK138" s="17"/>
      <c r="CL138" s="17"/>
      <c r="CM138" s="17"/>
      <c r="CN138" s="18"/>
      <c r="CO138" s="18"/>
      <c r="CP138" s="18"/>
      <c r="CQ138" s="18"/>
      <c r="CR138" s="18"/>
      <c r="CS138" s="18"/>
      <c r="CT138" s="18"/>
      <c r="CU138" s="18"/>
      <c r="CV138" s="18"/>
      <c r="CW138" s="18"/>
      <c r="CX138" s="18"/>
      <c r="CY138" s="18"/>
    </row>
    <row r="139" spans="1:103" s="19" customFormat="1" x14ac:dyDescent="0.2">
      <c r="A139" s="58">
        <v>129</v>
      </c>
      <c r="B139" s="14" t="s">
        <v>1429</v>
      </c>
      <c r="C139" s="14" t="s">
        <v>79</v>
      </c>
      <c r="D139" s="15" t="s">
        <v>1109</v>
      </c>
      <c r="E139" s="25"/>
      <c r="F139" s="15">
        <v>2004</v>
      </c>
      <c r="G139" s="16" t="s">
        <v>1110</v>
      </c>
      <c r="H139" s="24"/>
      <c r="I139" s="15" t="s">
        <v>8</v>
      </c>
      <c r="J139" s="16" t="s">
        <v>1119</v>
      </c>
      <c r="K139" s="16" t="s">
        <v>1473</v>
      </c>
      <c r="L139" s="15" t="s">
        <v>31</v>
      </c>
      <c r="M139" s="15" t="s">
        <v>11</v>
      </c>
      <c r="N139" s="15" t="s">
        <v>201</v>
      </c>
      <c r="O139" s="15" t="s">
        <v>404</v>
      </c>
      <c r="P139" s="15" t="s">
        <v>285</v>
      </c>
      <c r="Q139" s="16" t="s">
        <v>313</v>
      </c>
      <c r="R139" s="16" t="s">
        <v>1120</v>
      </c>
      <c r="S139" s="15" t="s">
        <v>22</v>
      </c>
      <c r="T139" s="15" t="s">
        <v>336</v>
      </c>
      <c r="U139" s="15">
        <v>10</v>
      </c>
      <c r="V139" s="57">
        <f t="shared" si="18"/>
        <v>10</v>
      </c>
      <c r="W139" s="57" t="str">
        <f t="shared" si="24"/>
        <v>L</v>
      </c>
      <c r="X139" s="15" t="s">
        <v>407</v>
      </c>
      <c r="Y139" s="15" t="s">
        <v>14</v>
      </c>
      <c r="Z139" s="31" t="s">
        <v>54</v>
      </c>
      <c r="AA139" s="15" t="s">
        <v>903</v>
      </c>
      <c r="AB139" s="15">
        <v>10</v>
      </c>
      <c r="AC139" s="15">
        <f t="shared" si="19"/>
        <v>10</v>
      </c>
      <c r="AD139" s="15" t="str">
        <f t="shared" si="20"/>
        <v>L</v>
      </c>
      <c r="AE139" s="15" t="s">
        <v>16</v>
      </c>
      <c r="AF139" s="15" t="s">
        <v>14</v>
      </c>
      <c r="AG139" s="17">
        <v>493</v>
      </c>
      <c r="AH139" s="17">
        <v>224</v>
      </c>
      <c r="AI139" s="17">
        <v>204</v>
      </c>
      <c r="AJ139" s="17">
        <v>161</v>
      </c>
      <c r="AK139" s="17">
        <f>+AI139-AJ139</f>
        <v>43</v>
      </c>
      <c r="AL139" s="47">
        <v>162</v>
      </c>
      <c r="AM139" s="17">
        <v>143</v>
      </c>
      <c r="AN139" s="47">
        <f t="shared" si="22"/>
        <v>19</v>
      </c>
      <c r="AO139" s="47">
        <v>32</v>
      </c>
      <c r="AP139" s="17">
        <v>28</v>
      </c>
      <c r="AQ139" s="17">
        <f t="shared" si="23"/>
        <v>4</v>
      </c>
      <c r="AR139" s="17"/>
      <c r="AS139" s="17">
        <v>127</v>
      </c>
      <c r="AT139" s="17">
        <v>85</v>
      </c>
      <c r="AU139" s="17">
        <v>11</v>
      </c>
      <c r="AV139" s="17"/>
      <c r="AW139" s="17">
        <v>0</v>
      </c>
      <c r="AX139" s="17"/>
      <c r="AY139" s="17"/>
      <c r="AZ139" s="17"/>
      <c r="BA139" s="17">
        <v>224</v>
      </c>
      <c r="BB139" s="17">
        <v>212</v>
      </c>
      <c r="BC139" s="17">
        <v>171</v>
      </c>
      <c r="BD139" s="17">
        <v>41</v>
      </c>
      <c r="BE139" s="47">
        <v>156</v>
      </c>
      <c r="BF139" s="17">
        <v>138</v>
      </c>
      <c r="BG139" s="47">
        <f t="shared" si="21"/>
        <v>18</v>
      </c>
      <c r="BH139" s="17">
        <v>30</v>
      </c>
      <c r="BI139" s="17">
        <v>29</v>
      </c>
      <c r="BJ139" s="17">
        <v>1</v>
      </c>
      <c r="BK139" s="17"/>
      <c r="BL139" s="17">
        <v>109</v>
      </c>
      <c r="BM139" s="17">
        <v>62</v>
      </c>
      <c r="BN139" s="17">
        <v>14</v>
      </c>
      <c r="BO139" s="17"/>
      <c r="BP139" s="17">
        <v>2</v>
      </c>
      <c r="BQ139" s="17"/>
      <c r="BR139" s="17"/>
      <c r="BS139" s="17"/>
      <c r="BT139" s="17">
        <v>104</v>
      </c>
      <c r="BU139" s="17">
        <v>48</v>
      </c>
      <c r="BV139" s="17">
        <v>34</v>
      </c>
      <c r="BW139" s="17"/>
      <c r="BX139" s="17"/>
      <c r="BY139" s="17"/>
      <c r="BZ139" s="17"/>
      <c r="CA139" s="17">
        <v>0</v>
      </c>
      <c r="CB139" s="17">
        <v>8</v>
      </c>
      <c r="CC139" s="17"/>
      <c r="CD139" s="17"/>
      <c r="CE139" s="17"/>
      <c r="CF139" s="17"/>
      <c r="CG139" s="17"/>
      <c r="CH139" s="17"/>
      <c r="CI139" s="17"/>
      <c r="CJ139" s="17"/>
      <c r="CK139" s="17"/>
      <c r="CL139" s="17"/>
      <c r="CM139" s="17"/>
      <c r="CN139" s="18"/>
      <c r="CO139" s="18"/>
      <c r="CP139" s="18"/>
      <c r="CQ139" s="18"/>
      <c r="CR139" s="18"/>
      <c r="CS139" s="18"/>
      <c r="CT139" s="18"/>
      <c r="CU139" s="18"/>
      <c r="CV139" s="18"/>
      <c r="CW139" s="18"/>
      <c r="CX139" s="18"/>
      <c r="CY139" s="18"/>
    </row>
    <row r="140" spans="1:103" s="19" customFormat="1" x14ac:dyDescent="0.2">
      <c r="A140" s="58">
        <v>130</v>
      </c>
      <c r="B140" s="14" t="s">
        <v>1429</v>
      </c>
      <c r="C140" s="14" t="s">
        <v>79</v>
      </c>
      <c r="D140" s="15" t="s">
        <v>140</v>
      </c>
      <c r="E140" s="15"/>
      <c r="F140" s="15">
        <v>2002</v>
      </c>
      <c r="G140" s="16" t="s">
        <v>146</v>
      </c>
      <c r="H140" s="16"/>
      <c r="I140" s="15" t="s">
        <v>8</v>
      </c>
      <c r="J140" s="16" t="s">
        <v>141</v>
      </c>
      <c r="K140" s="16" t="s">
        <v>1473</v>
      </c>
      <c r="L140" s="15" t="s">
        <v>31</v>
      </c>
      <c r="M140" s="15" t="s">
        <v>11</v>
      </c>
      <c r="N140" s="31" t="s">
        <v>201</v>
      </c>
      <c r="O140" s="15" t="s">
        <v>458</v>
      </c>
      <c r="P140" s="15" t="s">
        <v>285</v>
      </c>
      <c r="Q140" s="16" t="s">
        <v>313</v>
      </c>
      <c r="R140" s="16" t="s">
        <v>1121</v>
      </c>
      <c r="S140" s="15" t="s">
        <v>124</v>
      </c>
      <c r="T140" s="15" t="s">
        <v>757</v>
      </c>
      <c r="U140" s="15">
        <v>14</v>
      </c>
      <c r="V140" s="57">
        <f t="shared" si="18"/>
        <v>14</v>
      </c>
      <c r="W140" s="57" t="str">
        <f t="shared" si="24"/>
        <v>L</v>
      </c>
      <c r="X140" s="15" t="s">
        <v>511</v>
      </c>
      <c r="Y140" s="15" t="s">
        <v>14</v>
      </c>
      <c r="Z140" s="31" t="s">
        <v>142</v>
      </c>
      <c r="AA140" s="15" t="s">
        <v>757</v>
      </c>
      <c r="AB140" s="15">
        <v>14</v>
      </c>
      <c r="AC140" s="15">
        <f t="shared" si="19"/>
        <v>14</v>
      </c>
      <c r="AD140" s="15" t="str">
        <f t="shared" si="20"/>
        <v>L</v>
      </c>
      <c r="AE140" s="15" t="s">
        <v>511</v>
      </c>
      <c r="AF140" s="15" t="s">
        <v>14</v>
      </c>
      <c r="AG140" s="17">
        <f>292+279</f>
        <v>571</v>
      </c>
      <c r="AH140" s="17">
        <v>292</v>
      </c>
      <c r="AI140" s="17"/>
      <c r="AJ140" s="17"/>
      <c r="AK140" s="17"/>
      <c r="AL140" s="47">
        <v>179</v>
      </c>
      <c r="AM140" s="17">
        <v>162</v>
      </c>
      <c r="AN140" s="47">
        <f t="shared" si="22"/>
        <v>17</v>
      </c>
      <c r="AO140" s="47">
        <v>151</v>
      </c>
      <c r="AP140" s="17">
        <v>134</v>
      </c>
      <c r="AQ140" s="17">
        <f t="shared" si="23"/>
        <v>17</v>
      </c>
      <c r="AR140" s="17"/>
      <c r="AS140" s="17">
        <v>55</v>
      </c>
      <c r="AT140" s="17"/>
      <c r="AU140" s="17"/>
      <c r="AV140" s="17"/>
      <c r="AW140" s="17"/>
      <c r="AX140" s="17"/>
      <c r="AY140" s="17"/>
      <c r="AZ140" s="17"/>
      <c r="BA140" s="17">
        <v>200</v>
      </c>
      <c r="BB140" s="17"/>
      <c r="BC140" s="17"/>
      <c r="BD140" s="17"/>
      <c r="BE140" s="47">
        <v>166</v>
      </c>
      <c r="BF140" s="17">
        <v>153</v>
      </c>
      <c r="BG140" s="47">
        <f t="shared" si="21"/>
        <v>13</v>
      </c>
      <c r="BH140" s="17">
        <v>140</v>
      </c>
      <c r="BI140" s="17">
        <v>134</v>
      </c>
      <c r="BJ140" s="17">
        <f>+BH140-BI140</f>
        <v>6</v>
      </c>
      <c r="BK140" s="17"/>
      <c r="BL140" s="17">
        <v>45</v>
      </c>
      <c r="BM140" s="17"/>
      <c r="BN140" s="17"/>
      <c r="BO140" s="17"/>
      <c r="BP140" s="17"/>
      <c r="BQ140" s="17"/>
      <c r="BR140" s="17"/>
      <c r="BS140" s="17"/>
      <c r="BT140" s="17">
        <f>140+151</f>
        <v>291</v>
      </c>
      <c r="BU140" s="17">
        <f>48+45</f>
        <v>93</v>
      </c>
      <c r="BV140" s="17">
        <f>51+38</f>
        <v>89</v>
      </c>
      <c r="BW140" s="17"/>
      <c r="BX140" s="17"/>
      <c r="BY140" s="17"/>
      <c r="BZ140" s="17"/>
      <c r="CA140" s="17"/>
      <c r="CB140" s="17"/>
      <c r="CC140" s="17"/>
      <c r="CD140" s="17"/>
      <c r="CE140" s="17"/>
      <c r="CF140" s="17"/>
      <c r="CG140" s="17"/>
      <c r="CH140" s="17"/>
      <c r="CI140" s="17"/>
      <c r="CJ140" s="17"/>
      <c r="CK140" s="17"/>
      <c r="CL140" s="17"/>
      <c r="CM140" s="17"/>
      <c r="CN140" s="18"/>
      <c r="CO140" s="18"/>
      <c r="CP140" s="18"/>
      <c r="CQ140" s="18"/>
      <c r="CR140" s="18"/>
      <c r="CS140" s="18"/>
      <c r="CT140" s="18"/>
      <c r="CU140" s="18"/>
      <c r="CV140" s="18"/>
      <c r="CW140" s="18"/>
      <c r="CX140" s="18"/>
      <c r="CY140" s="18"/>
    </row>
    <row r="141" spans="1:103" s="19" customFormat="1" x14ac:dyDescent="0.2">
      <c r="A141" s="58">
        <v>130</v>
      </c>
      <c r="B141" s="14" t="s">
        <v>1430</v>
      </c>
      <c r="C141" s="14" t="s">
        <v>79</v>
      </c>
      <c r="D141" s="15" t="s">
        <v>140</v>
      </c>
      <c r="E141" s="15"/>
      <c r="F141" s="15">
        <v>2002</v>
      </c>
      <c r="G141" s="16" t="s">
        <v>146</v>
      </c>
      <c r="H141" s="16"/>
      <c r="I141" s="15" t="s">
        <v>8</v>
      </c>
      <c r="J141" s="16" t="s">
        <v>141</v>
      </c>
      <c r="K141" s="16" t="s">
        <v>1473</v>
      </c>
      <c r="L141" s="15" t="s">
        <v>31</v>
      </c>
      <c r="M141" s="15" t="s">
        <v>11</v>
      </c>
      <c r="N141" s="31" t="s">
        <v>201</v>
      </c>
      <c r="O141" s="15" t="s">
        <v>458</v>
      </c>
      <c r="P141" s="15" t="s">
        <v>285</v>
      </c>
      <c r="Q141" s="16" t="s">
        <v>313</v>
      </c>
      <c r="R141" s="16" t="s">
        <v>1121</v>
      </c>
      <c r="S141" s="15" t="s">
        <v>124</v>
      </c>
      <c r="T141" s="15" t="s">
        <v>240</v>
      </c>
      <c r="U141" s="15">
        <v>14</v>
      </c>
      <c r="V141" s="57">
        <f t="shared" si="18"/>
        <v>14</v>
      </c>
      <c r="W141" s="57" t="str">
        <f t="shared" si="24"/>
        <v>L</v>
      </c>
      <c r="X141" s="15" t="s">
        <v>511</v>
      </c>
      <c r="Y141" s="15" t="s">
        <v>14</v>
      </c>
      <c r="Z141" s="31" t="s">
        <v>142</v>
      </c>
      <c r="AA141" s="15" t="s">
        <v>757</v>
      </c>
      <c r="AB141" s="15">
        <v>14</v>
      </c>
      <c r="AC141" s="15">
        <f t="shared" si="19"/>
        <v>14</v>
      </c>
      <c r="AD141" s="15" t="str">
        <f t="shared" si="20"/>
        <v>L</v>
      </c>
      <c r="AE141" s="15" t="s">
        <v>511</v>
      </c>
      <c r="AF141" s="15" t="s">
        <v>14</v>
      </c>
      <c r="AG141" s="17">
        <f>280+279</f>
        <v>559</v>
      </c>
      <c r="AH141" s="17">
        <v>280</v>
      </c>
      <c r="AI141" s="17"/>
      <c r="AJ141" s="17"/>
      <c r="AK141" s="17"/>
      <c r="AL141" s="47">
        <v>165</v>
      </c>
      <c r="AM141" s="17">
        <v>148</v>
      </c>
      <c r="AN141" s="47">
        <f t="shared" si="22"/>
        <v>17</v>
      </c>
      <c r="AO141" s="47">
        <v>149</v>
      </c>
      <c r="AP141" s="17">
        <v>134</v>
      </c>
      <c r="AQ141" s="17">
        <f t="shared" si="23"/>
        <v>15</v>
      </c>
      <c r="AR141" s="17"/>
      <c r="AS141" s="17">
        <v>61</v>
      </c>
      <c r="AT141" s="17"/>
      <c r="AU141" s="17"/>
      <c r="AV141" s="17"/>
      <c r="AW141" s="17"/>
      <c r="AX141" s="17"/>
      <c r="AY141" s="17"/>
      <c r="AZ141" s="17"/>
      <c r="BA141" s="17">
        <v>200</v>
      </c>
      <c r="BB141" s="17"/>
      <c r="BC141" s="17"/>
      <c r="BD141" s="17"/>
      <c r="BE141" s="47">
        <v>166</v>
      </c>
      <c r="BF141" s="17">
        <v>153</v>
      </c>
      <c r="BG141" s="47">
        <f t="shared" si="21"/>
        <v>13</v>
      </c>
      <c r="BH141" s="17">
        <v>140</v>
      </c>
      <c r="BI141" s="17">
        <v>134</v>
      </c>
      <c r="BJ141" s="17">
        <f>+BH141-BI141</f>
        <v>6</v>
      </c>
      <c r="BK141" s="17"/>
      <c r="BL141" s="17">
        <v>45</v>
      </c>
      <c r="BM141" s="17"/>
      <c r="BN141" s="17"/>
      <c r="BO141" s="17"/>
      <c r="BP141" s="17"/>
      <c r="BQ141" s="17"/>
      <c r="BR141" s="17"/>
      <c r="BS141" s="17"/>
      <c r="BT141" s="17">
        <f>149+140</f>
        <v>289</v>
      </c>
      <c r="BU141" s="17">
        <f>47+45</f>
        <v>92</v>
      </c>
      <c r="BV141" s="17">
        <f>38+44</f>
        <v>82</v>
      </c>
      <c r="BW141" s="17"/>
      <c r="BX141" s="17"/>
      <c r="BY141" s="17"/>
      <c r="BZ141" s="17"/>
      <c r="CA141" s="17"/>
      <c r="CB141" s="17"/>
      <c r="CC141" s="17"/>
      <c r="CD141" s="17"/>
      <c r="CE141" s="17"/>
      <c r="CF141" s="17"/>
      <c r="CG141" s="17"/>
      <c r="CH141" s="17"/>
      <c r="CI141" s="17"/>
      <c r="CJ141" s="17"/>
      <c r="CK141" s="17"/>
      <c r="CL141" s="17"/>
      <c r="CM141" s="17"/>
      <c r="CN141" s="18"/>
      <c r="CO141" s="18"/>
      <c r="CP141" s="18"/>
      <c r="CQ141" s="18"/>
      <c r="CR141" s="18"/>
      <c r="CS141" s="18"/>
      <c r="CT141" s="18"/>
      <c r="CU141" s="18"/>
      <c r="CV141" s="18"/>
      <c r="CW141" s="18"/>
      <c r="CX141" s="18"/>
      <c r="CY141" s="18"/>
    </row>
    <row r="142" spans="1:103" s="19" customFormat="1" x14ac:dyDescent="0.2">
      <c r="A142" s="58">
        <v>131</v>
      </c>
      <c r="B142" s="14" t="s">
        <v>1429</v>
      </c>
      <c r="C142" s="14" t="s">
        <v>79</v>
      </c>
      <c r="D142" s="15" t="s">
        <v>138</v>
      </c>
      <c r="E142" s="15"/>
      <c r="F142" s="15">
        <v>1999</v>
      </c>
      <c r="G142" s="16" t="s">
        <v>1111</v>
      </c>
      <c r="H142" s="16"/>
      <c r="I142" s="15" t="s">
        <v>8</v>
      </c>
      <c r="J142" s="16" t="s">
        <v>139</v>
      </c>
      <c r="K142" s="16" t="s">
        <v>1475</v>
      </c>
      <c r="L142" s="15" t="s">
        <v>31</v>
      </c>
      <c r="M142" s="15" t="s">
        <v>11</v>
      </c>
      <c r="N142" s="15" t="s">
        <v>201</v>
      </c>
      <c r="O142" s="15" t="s">
        <v>404</v>
      </c>
      <c r="P142" s="15" t="s">
        <v>285</v>
      </c>
      <c r="Q142" s="16" t="s">
        <v>313</v>
      </c>
      <c r="R142" s="16" t="s">
        <v>1122</v>
      </c>
      <c r="S142" s="15" t="s">
        <v>54</v>
      </c>
      <c r="T142" s="15" t="s">
        <v>903</v>
      </c>
      <c r="U142" s="15" t="s">
        <v>1070</v>
      </c>
      <c r="V142" s="57">
        <v>7</v>
      </c>
      <c r="W142" s="57" t="str">
        <f t="shared" si="24"/>
        <v>L</v>
      </c>
      <c r="X142" s="15" t="s">
        <v>16</v>
      </c>
      <c r="Y142" s="15" t="s">
        <v>14</v>
      </c>
      <c r="Z142" s="31" t="s">
        <v>1463</v>
      </c>
      <c r="AA142" s="15" t="s">
        <v>1127</v>
      </c>
      <c r="AB142" s="15" t="s">
        <v>1070</v>
      </c>
      <c r="AC142" s="15">
        <v>8</v>
      </c>
      <c r="AD142" s="15" t="str">
        <f t="shared" si="20"/>
        <v>L</v>
      </c>
      <c r="AE142" s="15" t="s">
        <v>16</v>
      </c>
      <c r="AF142" s="15" t="s">
        <v>14</v>
      </c>
      <c r="AG142" s="17">
        <f>61+64</f>
        <v>125</v>
      </c>
      <c r="AH142" s="17">
        <v>61</v>
      </c>
      <c r="AI142" s="17">
        <v>61</v>
      </c>
      <c r="AJ142" s="17">
        <v>51</v>
      </c>
      <c r="AK142" s="17">
        <v>10</v>
      </c>
      <c r="AL142" s="47">
        <v>57</v>
      </c>
      <c r="AM142" s="17">
        <v>51</v>
      </c>
      <c r="AN142" s="47">
        <v>6</v>
      </c>
      <c r="AO142" s="47"/>
      <c r="AP142" s="17"/>
      <c r="AQ142" s="17"/>
      <c r="AR142" s="17"/>
      <c r="AS142" s="17">
        <v>10</v>
      </c>
      <c r="AT142" s="17"/>
      <c r="AU142" s="17"/>
      <c r="AV142" s="17"/>
      <c r="AW142" s="17"/>
      <c r="AX142" s="17"/>
      <c r="AY142" s="17"/>
      <c r="AZ142" s="17"/>
      <c r="BA142" s="17">
        <v>64</v>
      </c>
      <c r="BB142" s="17">
        <v>64</v>
      </c>
      <c r="BC142" s="17">
        <v>50</v>
      </c>
      <c r="BD142" s="17">
        <v>14</v>
      </c>
      <c r="BE142" s="47">
        <v>57</v>
      </c>
      <c r="BF142" s="17">
        <v>50</v>
      </c>
      <c r="BG142" s="47">
        <v>7</v>
      </c>
      <c r="BH142" s="17"/>
      <c r="BI142" s="17"/>
      <c r="BJ142" s="17"/>
      <c r="BK142" s="17"/>
      <c r="BL142" s="17">
        <v>16</v>
      </c>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8"/>
      <c r="CO142" s="18"/>
      <c r="CP142" s="18"/>
      <c r="CQ142" s="18"/>
      <c r="CR142" s="18"/>
      <c r="CS142" s="18"/>
      <c r="CT142" s="18"/>
      <c r="CU142" s="18"/>
      <c r="CV142" s="18"/>
      <c r="CW142" s="18"/>
      <c r="CX142" s="18"/>
      <c r="CY142" s="18"/>
    </row>
    <row r="143" spans="1:103" s="36" customFormat="1" x14ac:dyDescent="0.2">
      <c r="A143" s="58">
        <v>132</v>
      </c>
      <c r="B143" s="14" t="s">
        <v>1429</v>
      </c>
      <c r="C143" s="30" t="s">
        <v>79</v>
      </c>
      <c r="D143" s="31" t="s">
        <v>1129</v>
      </c>
      <c r="E143" s="29"/>
      <c r="F143" s="31">
        <v>2016</v>
      </c>
      <c r="G143" s="32" t="s">
        <v>1128</v>
      </c>
      <c r="H143" s="41"/>
      <c r="I143" s="31" t="s">
        <v>8</v>
      </c>
      <c r="J143" s="31" t="s">
        <v>1140</v>
      </c>
      <c r="K143" s="31" t="s">
        <v>1473</v>
      </c>
      <c r="L143" s="31" t="s">
        <v>32</v>
      </c>
      <c r="M143" s="15" t="s">
        <v>25</v>
      </c>
      <c r="N143" s="31" t="s">
        <v>75</v>
      </c>
      <c r="O143" s="31" t="s">
        <v>1132</v>
      </c>
      <c r="P143" s="31" t="s">
        <v>333</v>
      </c>
      <c r="Q143" s="32" t="s">
        <v>313</v>
      </c>
      <c r="R143" s="32" t="s">
        <v>1139</v>
      </c>
      <c r="S143" s="31" t="s">
        <v>691</v>
      </c>
      <c r="T143" s="31" t="s">
        <v>1136</v>
      </c>
      <c r="U143" s="31" t="s">
        <v>1141</v>
      </c>
      <c r="V143" s="57">
        <v>10</v>
      </c>
      <c r="W143" s="57" t="str">
        <f t="shared" si="24"/>
        <v>L</v>
      </c>
      <c r="X143" s="31" t="s">
        <v>511</v>
      </c>
      <c r="Y143" s="31" t="s">
        <v>679</v>
      </c>
      <c r="Z143" s="31" t="s">
        <v>152</v>
      </c>
      <c r="AA143" s="31" t="s">
        <v>1134</v>
      </c>
      <c r="AB143" s="31" t="s">
        <v>1141</v>
      </c>
      <c r="AC143" s="15">
        <v>12</v>
      </c>
      <c r="AD143" s="15" t="str">
        <f t="shared" si="20"/>
        <v>L</v>
      </c>
      <c r="AE143" s="31" t="s">
        <v>511</v>
      </c>
      <c r="AF143" s="31" t="s">
        <v>14</v>
      </c>
      <c r="AG143" s="33">
        <v>161</v>
      </c>
      <c r="AH143" s="33">
        <v>121</v>
      </c>
      <c r="AI143" s="33"/>
      <c r="AJ143" s="33"/>
      <c r="AK143" s="33"/>
      <c r="AL143" s="44">
        <f>98+9</f>
        <v>107</v>
      </c>
      <c r="AM143" s="33">
        <v>98</v>
      </c>
      <c r="AN143" s="44">
        <v>9</v>
      </c>
      <c r="AO143" s="44"/>
      <c r="AP143" s="33"/>
      <c r="AQ143" s="33"/>
      <c r="AR143" s="33">
        <v>0</v>
      </c>
      <c r="AS143" s="33">
        <v>55</v>
      </c>
      <c r="AT143" s="33">
        <v>12</v>
      </c>
      <c r="AU143" s="33">
        <v>6</v>
      </c>
      <c r="AV143" s="33"/>
      <c r="AW143" s="33"/>
      <c r="AX143" s="33"/>
      <c r="AY143" s="33"/>
      <c r="AZ143" s="33"/>
      <c r="BA143" s="33">
        <v>39</v>
      </c>
      <c r="BB143" s="33"/>
      <c r="BC143" s="33"/>
      <c r="BD143" s="33"/>
      <c r="BE143" s="44">
        <v>36</v>
      </c>
      <c r="BF143" s="33">
        <v>32</v>
      </c>
      <c r="BG143" s="44">
        <v>4</v>
      </c>
      <c r="BH143" s="33"/>
      <c r="BI143" s="33"/>
      <c r="BJ143" s="33"/>
      <c r="BK143" s="33">
        <v>0</v>
      </c>
      <c r="BL143" s="33">
        <v>18</v>
      </c>
      <c r="BM143" s="33">
        <v>3</v>
      </c>
      <c r="BN143" s="33">
        <v>1</v>
      </c>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5"/>
      <c r="CO143" s="35"/>
      <c r="CP143" s="35"/>
      <c r="CQ143" s="35"/>
      <c r="CR143" s="35"/>
      <c r="CS143" s="35"/>
      <c r="CT143" s="35"/>
      <c r="CU143" s="35"/>
      <c r="CV143" s="35"/>
      <c r="CW143" s="35"/>
      <c r="CX143" s="35"/>
      <c r="CY143" s="35"/>
    </row>
    <row r="144" spans="1:103" s="36" customFormat="1" x14ac:dyDescent="0.2">
      <c r="A144" s="58">
        <v>133</v>
      </c>
      <c r="B144" s="14" t="s">
        <v>1429</v>
      </c>
      <c r="C144" s="30" t="s">
        <v>79</v>
      </c>
      <c r="D144" s="31" t="s">
        <v>1130</v>
      </c>
      <c r="E144" s="29"/>
      <c r="F144" s="31">
        <v>2016</v>
      </c>
      <c r="G144" s="32" t="s">
        <v>1131</v>
      </c>
      <c r="H144" s="41"/>
      <c r="I144" s="31" t="s">
        <v>8</v>
      </c>
      <c r="J144" s="32" t="s">
        <v>1143</v>
      </c>
      <c r="K144" s="32" t="s">
        <v>1473</v>
      </c>
      <c r="L144" s="15" t="s">
        <v>68</v>
      </c>
      <c r="M144" s="15" t="s">
        <v>25</v>
      </c>
      <c r="N144" s="31" t="s">
        <v>75</v>
      </c>
      <c r="O144" s="31" t="s">
        <v>1132</v>
      </c>
      <c r="P144" s="31" t="s">
        <v>333</v>
      </c>
      <c r="Q144" s="32" t="s">
        <v>313</v>
      </c>
      <c r="R144" s="32" t="s">
        <v>1144</v>
      </c>
      <c r="S144" s="31" t="s">
        <v>691</v>
      </c>
      <c r="T144" s="31" t="s">
        <v>1136</v>
      </c>
      <c r="U144" s="31">
        <v>9</v>
      </c>
      <c r="V144" s="57">
        <v>10</v>
      </c>
      <c r="W144" s="57" t="str">
        <f t="shared" si="24"/>
        <v>L</v>
      </c>
      <c r="X144" s="31" t="s">
        <v>511</v>
      </c>
      <c r="Y144" s="31" t="s">
        <v>679</v>
      </c>
      <c r="Z144" s="31" t="s">
        <v>1468</v>
      </c>
      <c r="AA144" s="32" t="s">
        <v>1135</v>
      </c>
      <c r="AB144" s="31">
        <v>8</v>
      </c>
      <c r="AC144" s="15">
        <f t="shared" si="19"/>
        <v>8</v>
      </c>
      <c r="AD144" s="15" t="str">
        <f t="shared" si="20"/>
        <v>L</v>
      </c>
      <c r="AE144" s="32" t="s">
        <v>1133</v>
      </c>
      <c r="AF144" s="31" t="s">
        <v>14</v>
      </c>
      <c r="AG144" s="33">
        <v>40</v>
      </c>
      <c r="AH144" s="33">
        <v>30</v>
      </c>
      <c r="AI144" s="33"/>
      <c r="AJ144" s="33"/>
      <c r="AK144" s="33"/>
      <c r="AL144" s="44">
        <v>27</v>
      </c>
      <c r="AM144" s="33">
        <v>24</v>
      </c>
      <c r="AN144" s="44">
        <v>3</v>
      </c>
      <c r="AO144" s="44"/>
      <c r="AP144" s="33"/>
      <c r="AQ144" s="33"/>
      <c r="AR144" s="33"/>
      <c r="AS144" s="33">
        <v>12</v>
      </c>
      <c r="AT144" s="33">
        <v>7</v>
      </c>
      <c r="AU144" s="33">
        <v>0</v>
      </c>
      <c r="AV144" s="33"/>
      <c r="AW144" s="33"/>
      <c r="AX144" s="33"/>
      <c r="AY144" s="33"/>
      <c r="AZ144" s="33"/>
      <c r="BA144" s="33">
        <v>10</v>
      </c>
      <c r="BB144" s="33"/>
      <c r="BC144" s="33"/>
      <c r="BD144" s="33"/>
      <c r="BE144" s="44">
        <v>7</v>
      </c>
      <c r="BF144" s="33">
        <v>7</v>
      </c>
      <c r="BG144" s="44">
        <v>0</v>
      </c>
      <c r="BH144" s="33"/>
      <c r="BI144" s="33"/>
      <c r="BJ144" s="33"/>
      <c r="BK144" s="33"/>
      <c r="BL144" s="33">
        <v>8</v>
      </c>
      <c r="BM144" s="33">
        <v>3</v>
      </c>
      <c r="BN144" s="33">
        <v>1</v>
      </c>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5"/>
      <c r="CO144" s="35"/>
      <c r="CP144" s="35"/>
      <c r="CQ144" s="35"/>
      <c r="CR144" s="35"/>
      <c r="CS144" s="35"/>
      <c r="CT144" s="35"/>
      <c r="CU144" s="35"/>
      <c r="CV144" s="35"/>
      <c r="CW144" s="35"/>
      <c r="CX144" s="35"/>
      <c r="CY144" s="35"/>
    </row>
    <row r="145" spans="1:103" s="19" customFormat="1" x14ac:dyDescent="0.2">
      <c r="A145" s="58">
        <v>134</v>
      </c>
      <c r="B145" s="14" t="s">
        <v>1429</v>
      </c>
      <c r="C145" s="14" t="s">
        <v>79</v>
      </c>
      <c r="D145" s="15" t="s">
        <v>57</v>
      </c>
      <c r="E145" s="15" t="s">
        <v>384</v>
      </c>
      <c r="F145" s="15">
        <v>2003</v>
      </c>
      <c r="G145" s="16" t="s">
        <v>46</v>
      </c>
      <c r="H145" s="16" t="s">
        <v>47</v>
      </c>
      <c r="I145" s="15" t="s">
        <v>8</v>
      </c>
      <c r="J145" s="16" t="s">
        <v>35</v>
      </c>
      <c r="K145" s="16" t="s">
        <v>1472</v>
      </c>
      <c r="L145" s="15" t="s">
        <v>68</v>
      </c>
      <c r="M145" s="15" t="s">
        <v>25</v>
      </c>
      <c r="N145" s="15" t="s">
        <v>201</v>
      </c>
      <c r="O145" s="15" t="s">
        <v>411</v>
      </c>
      <c r="P145" s="15" t="s">
        <v>167</v>
      </c>
      <c r="Q145" s="16" t="s">
        <v>313</v>
      </c>
      <c r="R145" s="16" t="s">
        <v>415</v>
      </c>
      <c r="S145" s="15" t="s">
        <v>33</v>
      </c>
      <c r="T145" s="15" t="s">
        <v>416</v>
      </c>
      <c r="U145" s="15">
        <v>5</v>
      </c>
      <c r="V145" s="57">
        <f t="shared" si="18"/>
        <v>5</v>
      </c>
      <c r="W145" s="57" t="str">
        <f t="shared" si="24"/>
        <v>S</v>
      </c>
      <c r="X145" s="15" t="s">
        <v>13</v>
      </c>
      <c r="Y145" s="15" t="s">
        <v>14</v>
      </c>
      <c r="Z145" s="31" t="s">
        <v>33</v>
      </c>
      <c r="AA145" s="15" t="s">
        <v>417</v>
      </c>
      <c r="AB145" s="15">
        <v>10</v>
      </c>
      <c r="AC145" s="15">
        <f t="shared" si="19"/>
        <v>10</v>
      </c>
      <c r="AD145" s="15" t="str">
        <f t="shared" si="20"/>
        <v>L</v>
      </c>
      <c r="AE145" s="15" t="s">
        <v>13</v>
      </c>
      <c r="AF145" s="15" t="s">
        <v>14</v>
      </c>
      <c r="AG145" s="17">
        <f>256+272</f>
        <v>528</v>
      </c>
      <c r="AH145" s="17">
        <v>256</v>
      </c>
      <c r="AI145" s="17"/>
      <c r="AJ145" s="17"/>
      <c r="AK145" s="17"/>
      <c r="AL145" s="47">
        <v>198</v>
      </c>
      <c r="AM145" s="17">
        <v>183</v>
      </c>
      <c r="AN145" s="47">
        <f>+AL145-AM145</f>
        <v>15</v>
      </c>
      <c r="AO145" s="47">
        <v>103</v>
      </c>
      <c r="AP145" s="17">
        <v>96</v>
      </c>
      <c r="AQ145" s="17">
        <v>7</v>
      </c>
      <c r="AR145" s="17">
        <v>7</v>
      </c>
      <c r="AS145" s="17">
        <v>148</v>
      </c>
      <c r="AT145" s="17">
        <v>18</v>
      </c>
      <c r="AU145" s="17">
        <v>25</v>
      </c>
      <c r="AV145" s="17"/>
      <c r="AW145" s="17">
        <v>5</v>
      </c>
      <c r="AX145" s="17"/>
      <c r="AY145" s="17"/>
      <c r="AZ145" s="17"/>
      <c r="BA145" s="17">
        <v>272</v>
      </c>
      <c r="BB145" s="17">
        <v>218</v>
      </c>
      <c r="BC145" s="17"/>
      <c r="BD145" s="17"/>
      <c r="BE145" s="47">
        <v>192</v>
      </c>
      <c r="BF145" s="17">
        <v>175</v>
      </c>
      <c r="BG145" s="47">
        <f>+BE145-BF145</f>
        <v>17</v>
      </c>
      <c r="BH145" s="17">
        <v>92</v>
      </c>
      <c r="BI145" s="17">
        <v>85</v>
      </c>
      <c r="BJ145" s="17">
        <v>7</v>
      </c>
      <c r="BK145" s="17">
        <v>2</v>
      </c>
      <c r="BL145" s="17">
        <v>158</v>
      </c>
      <c r="BM145" s="17">
        <v>15</v>
      </c>
      <c r="BN145" s="17">
        <v>37</v>
      </c>
      <c r="BO145" s="17"/>
      <c r="BP145" s="17">
        <v>9</v>
      </c>
      <c r="BQ145" s="17"/>
      <c r="BR145" s="17"/>
      <c r="BS145" s="17"/>
      <c r="BT145" s="17">
        <f>13+12+22+22+11+43+36+3+16+20+10+14</f>
        <v>222</v>
      </c>
      <c r="BU145" s="17">
        <f>22+20</f>
        <v>42</v>
      </c>
      <c r="BV145" s="17">
        <f>13+14</f>
        <v>27</v>
      </c>
      <c r="BW145" s="17"/>
      <c r="BX145" s="17"/>
      <c r="BY145" s="17"/>
      <c r="BZ145" s="17">
        <f>16+3+36+43+11+22</f>
        <v>131</v>
      </c>
      <c r="CA145" s="17"/>
      <c r="CB145" s="17"/>
      <c r="CC145" s="17" t="s">
        <v>418</v>
      </c>
      <c r="CD145" s="17"/>
      <c r="CE145" s="17"/>
      <c r="CF145" s="17"/>
      <c r="CG145" s="17"/>
      <c r="CH145" s="17"/>
      <c r="CI145" s="17"/>
      <c r="CJ145" s="17"/>
      <c r="CK145" s="17"/>
      <c r="CL145" s="17"/>
      <c r="CM145" s="17"/>
      <c r="CN145" s="18"/>
      <c r="CO145" s="18"/>
      <c r="CP145" s="18"/>
      <c r="CQ145" s="18"/>
      <c r="CR145" s="18"/>
      <c r="CS145" s="18"/>
      <c r="CT145" s="18"/>
      <c r="CU145" s="18"/>
      <c r="CV145" s="18"/>
      <c r="CW145" s="18"/>
      <c r="CX145" s="18"/>
      <c r="CY145" s="18"/>
    </row>
    <row r="146" spans="1:103" s="29" customFormat="1" x14ac:dyDescent="0.2">
      <c r="A146" s="58">
        <v>135</v>
      </c>
      <c r="B146" s="14" t="s">
        <v>1429</v>
      </c>
      <c r="C146" s="30" t="s">
        <v>79</v>
      </c>
      <c r="D146" s="31" t="s">
        <v>257</v>
      </c>
      <c r="E146" s="31"/>
      <c r="F146" s="31">
        <v>2008</v>
      </c>
      <c r="G146" s="32" t="s">
        <v>266</v>
      </c>
      <c r="H146" s="32"/>
      <c r="I146" s="31" t="s">
        <v>8</v>
      </c>
      <c r="J146" s="32" t="s">
        <v>258</v>
      </c>
      <c r="K146" s="32" t="s">
        <v>1473</v>
      </c>
      <c r="L146" s="15" t="s">
        <v>68</v>
      </c>
      <c r="M146" s="15" t="s">
        <v>25</v>
      </c>
      <c r="N146" s="31" t="s">
        <v>75</v>
      </c>
      <c r="O146" s="31" t="s">
        <v>890</v>
      </c>
      <c r="P146" s="31" t="s">
        <v>167</v>
      </c>
      <c r="Q146" s="32" t="s">
        <v>313</v>
      </c>
      <c r="R146" s="32" t="s">
        <v>1159</v>
      </c>
      <c r="S146" s="31" t="s">
        <v>259</v>
      </c>
      <c r="T146" s="31" t="s">
        <v>1161</v>
      </c>
      <c r="U146" s="31">
        <v>5</v>
      </c>
      <c r="V146" s="57">
        <f t="shared" si="18"/>
        <v>5</v>
      </c>
      <c r="W146" s="57" t="str">
        <f t="shared" si="24"/>
        <v>S</v>
      </c>
      <c r="X146" s="32" t="s">
        <v>1160</v>
      </c>
      <c r="Y146" s="31" t="s">
        <v>388</v>
      </c>
      <c r="Z146" s="31" t="s">
        <v>255</v>
      </c>
      <c r="AA146" s="31" t="s">
        <v>260</v>
      </c>
      <c r="AB146" s="31">
        <v>5</v>
      </c>
      <c r="AC146" s="15">
        <f t="shared" si="19"/>
        <v>5</v>
      </c>
      <c r="AD146" s="15" t="str">
        <f t="shared" si="20"/>
        <v>S</v>
      </c>
      <c r="AE146" s="31" t="s">
        <v>390</v>
      </c>
      <c r="AF146" s="31" t="s">
        <v>388</v>
      </c>
      <c r="AG146" s="33">
        <f>479+479</f>
        <v>958</v>
      </c>
      <c r="AH146" s="33">
        <v>479</v>
      </c>
      <c r="AI146" s="33">
        <v>479</v>
      </c>
      <c r="AJ146" s="33">
        <f>+AI146-AK146</f>
        <v>425</v>
      </c>
      <c r="AK146" s="33">
        <v>54</v>
      </c>
      <c r="AL146" s="44"/>
      <c r="AM146" s="33"/>
      <c r="AN146" s="44"/>
      <c r="AO146" s="44"/>
      <c r="AP146" s="33"/>
      <c r="AQ146" s="33"/>
      <c r="AR146" s="33"/>
      <c r="AS146" s="33"/>
      <c r="AT146" s="33"/>
      <c r="AU146" s="33"/>
      <c r="AV146" s="33"/>
      <c r="AW146" s="33">
        <v>9</v>
      </c>
      <c r="AX146" s="33"/>
      <c r="AY146" s="33"/>
      <c r="AZ146" s="33"/>
      <c r="BA146" s="33">
        <v>479</v>
      </c>
      <c r="BB146" s="33">
        <v>479</v>
      </c>
      <c r="BC146" s="33">
        <v>77</v>
      </c>
      <c r="BD146" s="33">
        <v>402</v>
      </c>
      <c r="BE146" s="44"/>
      <c r="BF146" s="33"/>
      <c r="BG146" s="44"/>
      <c r="BH146" s="33"/>
      <c r="BI146" s="33"/>
      <c r="BJ146" s="33"/>
      <c r="BK146" s="33"/>
      <c r="BL146" s="33"/>
      <c r="BM146" s="33"/>
      <c r="BN146" s="33"/>
      <c r="BO146" s="33"/>
      <c r="BP146" s="33">
        <v>15</v>
      </c>
      <c r="BQ146" s="33"/>
      <c r="BR146" s="33"/>
      <c r="BS146" s="33"/>
      <c r="BT146" s="33">
        <f>22+8+47+3+6+5+1+6+5+1+1+1+2+3+1</f>
        <v>112</v>
      </c>
      <c r="BU146" s="33">
        <v>22</v>
      </c>
      <c r="BV146" s="33">
        <v>8</v>
      </c>
      <c r="BW146" s="33">
        <v>3</v>
      </c>
      <c r="BX146" s="33">
        <v>6</v>
      </c>
      <c r="BY146" s="33">
        <v>47</v>
      </c>
      <c r="BZ146" s="33"/>
      <c r="CA146" s="33"/>
      <c r="CB146" s="33"/>
      <c r="CC146" s="33"/>
      <c r="CD146" s="33"/>
      <c r="CE146" s="33"/>
      <c r="CF146" s="33"/>
      <c r="CG146" s="33"/>
      <c r="CH146" s="33"/>
      <c r="CI146" s="33"/>
      <c r="CJ146" s="33"/>
      <c r="CK146" s="33"/>
      <c r="CL146" s="33"/>
      <c r="CM146" s="33"/>
      <c r="CN146" s="35"/>
      <c r="CO146" s="35"/>
      <c r="CP146" s="35"/>
      <c r="CQ146" s="35"/>
      <c r="CR146" s="35"/>
      <c r="CS146" s="35"/>
      <c r="CT146" s="35"/>
      <c r="CU146" s="35"/>
      <c r="CV146" s="35"/>
      <c r="CW146" s="35"/>
      <c r="CX146" s="35"/>
      <c r="CY146" s="35"/>
    </row>
    <row r="147" spans="1:103" s="29" customFormat="1" x14ac:dyDescent="0.2">
      <c r="A147" s="58">
        <v>136</v>
      </c>
      <c r="B147" s="14" t="s">
        <v>1429</v>
      </c>
      <c r="C147" s="30" t="s">
        <v>79</v>
      </c>
      <c r="D147" s="31" t="s">
        <v>253</v>
      </c>
      <c r="E147" s="31"/>
      <c r="F147" s="31">
        <v>2002</v>
      </c>
      <c r="G147" s="32" t="s">
        <v>1148</v>
      </c>
      <c r="H147" s="32"/>
      <c r="I147" s="31" t="s">
        <v>8</v>
      </c>
      <c r="J147" s="32" t="s">
        <v>254</v>
      </c>
      <c r="K147" s="32" t="s">
        <v>1476</v>
      </c>
      <c r="L147" s="15" t="s">
        <v>68</v>
      </c>
      <c r="M147" s="15" t="s">
        <v>25</v>
      </c>
      <c r="N147" s="31" t="s">
        <v>75</v>
      </c>
      <c r="O147" s="31" t="s">
        <v>1162</v>
      </c>
      <c r="P147" s="31" t="s">
        <v>167</v>
      </c>
      <c r="Q147" s="32" t="s">
        <v>313</v>
      </c>
      <c r="R147" s="32" t="s">
        <v>1159</v>
      </c>
      <c r="S147" s="31" t="s">
        <v>255</v>
      </c>
      <c r="T147" s="31" t="s">
        <v>1163</v>
      </c>
      <c r="U147" s="31">
        <v>14</v>
      </c>
      <c r="V147" s="57">
        <f t="shared" si="18"/>
        <v>14</v>
      </c>
      <c r="W147" s="57" t="str">
        <f t="shared" si="24"/>
        <v>L</v>
      </c>
      <c r="X147" s="31" t="s">
        <v>390</v>
      </c>
      <c r="Y147" s="31" t="s">
        <v>388</v>
      </c>
      <c r="Z147" s="31" t="s">
        <v>1165</v>
      </c>
      <c r="AA147" s="32" t="s">
        <v>1164</v>
      </c>
      <c r="AB147" s="31">
        <v>14</v>
      </c>
      <c r="AC147" s="15">
        <f t="shared" si="19"/>
        <v>14</v>
      </c>
      <c r="AD147" s="15" t="str">
        <f t="shared" si="20"/>
        <v>L</v>
      </c>
      <c r="AE147" s="32" t="s">
        <v>1160</v>
      </c>
      <c r="AF147" s="31" t="s">
        <v>388</v>
      </c>
      <c r="AG147" s="33">
        <v>1116</v>
      </c>
      <c r="AH147" s="33">
        <v>559</v>
      </c>
      <c r="AI147" s="33"/>
      <c r="AJ147" s="33"/>
      <c r="AK147" s="33"/>
      <c r="AL147" s="44"/>
      <c r="AM147" s="33"/>
      <c r="AN147" s="44"/>
      <c r="AO147" s="44"/>
      <c r="AP147" s="33"/>
      <c r="AQ147" s="33"/>
      <c r="AR147" s="33"/>
      <c r="AS147" s="33">
        <v>147</v>
      </c>
      <c r="AT147" s="33"/>
      <c r="AU147" s="33"/>
      <c r="AV147" s="33"/>
      <c r="AW147" s="33">
        <v>36</v>
      </c>
      <c r="AX147" s="33"/>
      <c r="AY147" s="33"/>
      <c r="AZ147" s="33"/>
      <c r="BA147" s="33">
        <v>557</v>
      </c>
      <c r="BB147" s="33"/>
      <c r="BC147" s="33"/>
      <c r="BD147" s="33"/>
      <c r="BE147" s="44"/>
      <c r="BF147" s="33"/>
      <c r="BG147" s="44"/>
      <c r="BH147" s="33"/>
      <c r="BI147" s="33"/>
      <c r="BJ147" s="33"/>
      <c r="BK147" s="33"/>
      <c r="BL147" s="33">
        <v>123</v>
      </c>
      <c r="BM147" s="33"/>
      <c r="BN147" s="33"/>
      <c r="BO147" s="33"/>
      <c r="BP147" s="33">
        <v>29</v>
      </c>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5"/>
      <c r="CO147" s="35"/>
      <c r="CP147" s="35"/>
      <c r="CQ147" s="35"/>
      <c r="CR147" s="35"/>
      <c r="CS147" s="35"/>
      <c r="CT147" s="35"/>
      <c r="CU147" s="35"/>
      <c r="CV147" s="35"/>
      <c r="CW147" s="35"/>
      <c r="CX147" s="35"/>
      <c r="CY147" s="35"/>
    </row>
    <row r="148" spans="1:103" s="29" customFormat="1" x14ac:dyDescent="0.2">
      <c r="A148" s="58">
        <v>137</v>
      </c>
      <c r="B148" s="14" t="s">
        <v>1429</v>
      </c>
      <c r="C148" s="30" t="s">
        <v>79</v>
      </c>
      <c r="D148" s="31" t="s">
        <v>261</v>
      </c>
      <c r="E148" s="31"/>
      <c r="F148" s="31">
        <v>2006</v>
      </c>
      <c r="G148" s="32" t="s">
        <v>1146</v>
      </c>
      <c r="H148" s="32"/>
      <c r="I148" s="31" t="s">
        <v>8</v>
      </c>
      <c r="J148" s="32" t="s">
        <v>76</v>
      </c>
      <c r="K148" s="32" t="s">
        <v>1471</v>
      </c>
      <c r="L148" s="31" t="s">
        <v>32</v>
      </c>
      <c r="M148" s="15" t="s">
        <v>25</v>
      </c>
      <c r="N148" s="31" t="s">
        <v>75</v>
      </c>
      <c r="O148" s="31" t="s">
        <v>890</v>
      </c>
      <c r="P148" s="31" t="s">
        <v>167</v>
      </c>
      <c r="Q148" s="32" t="s">
        <v>313</v>
      </c>
      <c r="R148" s="32" t="s">
        <v>1159</v>
      </c>
      <c r="S148" s="32" t="s">
        <v>1165</v>
      </c>
      <c r="T148" s="32" t="s">
        <v>1166</v>
      </c>
      <c r="U148" s="31" t="s">
        <v>1168</v>
      </c>
      <c r="V148" s="57">
        <v>5</v>
      </c>
      <c r="W148" s="57" t="str">
        <f t="shared" si="24"/>
        <v>S</v>
      </c>
      <c r="X148" s="32" t="s">
        <v>1160</v>
      </c>
      <c r="Y148" s="31" t="s">
        <v>388</v>
      </c>
      <c r="Z148" s="31" t="s">
        <v>531</v>
      </c>
      <c r="AA148" s="31" t="s">
        <v>1167</v>
      </c>
      <c r="AB148" s="31" t="s">
        <v>1168</v>
      </c>
      <c r="AC148" s="15">
        <v>5</v>
      </c>
      <c r="AD148" s="15" t="str">
        <f t="shared" si="20"/>
        <v>S</v>
      </c>
      <c r="AE148" s="31" t="s">
        <v>131</v>
      </c>
      <c r="AF148" s="31" t="s">
        <v>388</v>
      </c>
      <c r="AG148" s="33">
        <f>38+33</f>
        <v>71</v>
      </c>
      <c r="AH148" s="33">
        <v>38</v>
      </c>
      <c r="AI148" s="33">
        <v>38</v>
      </c>
      <c r="AJ148" s="33">
        <v>37</v>
      </c>
      <c r="AK148" s="33">
        <v>1</v>
      </c>
      <c r="AL148" s="44"/>
      <c r="AM148" s="33"/>
      <c r="AN148" s="44"/>
      <c r="AO148" s="44"/>
      <c r="AP148" s="33"/>
      <c r="AQ148" s="33"/>
      <c r="AR148" s="33"/>
      <c r="AS148" s="33"/>
      <c r="AT148" s="33"/>
      <c r="AU148" s="33"/>
      <c r="AV148" s="33"/>
      <c r="AW148" s="33"/>
      <c r="AX148" s="33"/>
      <c r="AY148" s="33"/>
      <c r="AZ148" s="33"/>
      <c r="BA148" s="33">
        <v>33</v>
      </c>
      <c r="BB148" s="33">
        <v>33</v>
      </c>
      <c r="BC148" s="33">
        <v>32</v>
      </c>
      <c r="BD148" s="33">
        <v>1</v>
      </c>
      <c r="BE148" s="44"/>
      <c r="BF148" s="33"/>
      <c r="BG148" s="44"/>
      <c r="BH148" s="33"/>
      <c r="BI148" s="33"/>
      <c r="BJ148" s="33"/>
      <c r="BK148" s="33"/>
      <c r="BL148" s="33"/>
      <c r="BM148" s="33"/>
      <c r="BN148" s="33"/>
      <c r="BO148" s="33"/>
      <c r="BP148" s="33"/>
      <c r="BQ148" s="33"/>
      <c r="BR148" s="33"/>
      <c r="BS148" s="33"/>
      <c r="BT148" s="33">
        <v>5</v>
      </c>
      <c r="BU148" s="33">
        <v>3</v>
      </c>
      <c r="BV148" s="33">
        <v>2</v>
      </c>
      <c r="BW148" s="33"/>
      <c r="BX148" s="33"/>
      <c r="BY148" s="33"/>
      <c r="BZ148" s="33"/>
      <c r="CA148" s="33"/>
      <c r="CB148" s="33"/>
      <c r="CC148" s="33"/>
      <c r="CD148" s="33"/>
      <c r="CE148" s="33"/>
      <c r="CF148" s="33"/>
      <c r="CG148" s="33"/>
      <c r="CH148" s="33"/>
      <c r="CI148" s="33"/>
      <c r="CJ148" s="33"/>
      <c r="CK148" s="33"/>
      <c r="CL148" s="33"/>
      <c r="CM148" s="33"/>
      <c r="CN148" s="35"/>
      <c r="CO148" s="35"/>
      <c r="CP148" s="35"/>
      <c r="CQ148" s="35"/>
      <c r="CR148" s="35"/>
      <c r="CS148" s="35"/>
      <c r="CT148" s="35"/>
      <c r="CU148" s="35"/>
      <c r="CV148" s="35"/>
      <c r="CW148" s="35"/>
      <c r="CX148" s="35"/>
      <c r="CY148" s="35"/>
    </row>
    <row r="149" spans="1:103" s="36" customFormat="1" x14ac:dyDescent="0.2">
      <c r="A149" s="58">
        <v>138</v>
      </c>
      <c r="B149" s="14" t="s">
        <v>1429</v>
      </c>
      <c r="C149" s="30" t="s">
        <v>79</v>
      </c>
      <c r="D149" s="31" t="s">
        <v>262</v>
      </c>
      <c r="E149" s="31"/>
      <c r="F149" s="31">
        <v>2011</v>
      </c>
      <c r="G149" s="32" t="s">
        <v>1147</v>
      </c>
      <c r="H149" s="41" t="s">
        <v>265</v>
      </c>
      <c r="I149" s="31" t="s">
        <v>8</v>
      </c>
      <c r="J149" s="32" t="s">
        <v>263</v>
      </c>
      <c r="K149" s="32" t="s">
        <v>1475</v>
      </c>
      <c r="L149" s="31" t="s">
        <v>32</v>
      </c>
      <c r="M149" s="15" t="s">
        <v>25</v>
      </c>
      <c r="N149" s="31" t="s">
        <v>75</v>
      </c>
      <c r="O149" s="31" t="s">
        <v>1162</v>
      </c>
      <c r="P149" s="31" t="s">
        <v>167</v>
      </c>
      <c r="Q149" s="32" t="s">
        <v>313</v>
      </c>
      <c r="R149" s="32" t="s">
        <v>1170</v>
      </c>
      <c r="S149" s="31" t="s">
        <v>264</v>
      </c>
      <c r="T149" s="32" t="s">
        <v>1171</v>
      </c>
      <c r="U149" s="31">
        <v>10</v>
      </c>
      <c r="V149" s="57">
        <f t="shared" si="18"/>
        <v>10</v>
      </c>
      <c r="W149" s="57" t="str">
        <f t="shared" si="24"/>
        <v>L</v>
      </c>
      <c r="X149" s="32" t="s">
        <v>1169</v>
      </c>
      <c r="Y149" s="31" t="s">
        <v>753</v>
      </c>
      <c r="Z149" s="31" t="s">
        <v>531</v>
      </c>
      <c r="AA149" s="31" t="s">
        <v>1172</v>
      </c>
      <c r="AB149" s="31">
        <v>10</v>
      </c>
      <c r="AC149" s="15">
        <f t="shared" si="19"/>
        <v>10</v>
      </c>
      <c r="AD149" s="15" t="str">
        <f t="shared" si="20"/>
        <v>L</v>
      </c>
      <c r="AE149" s="31" t="s">
        <v>131</v>
      </c>
      <c r="AF149" s="31" t="s">
        <v>388</v>
      </c>
      <c r="AG149" s="33">
        <v>104</v>
      </c>
      <c r="AH149" s="33">
        <v>48</v>
      </c>
      <c r="AI149" s="33">
        <v>48</v>
      </c>
      <c r="AJ149" s="33"/>
      <c r="AK149" s="33"/>
      <c r="AL149" s="44"/>
      <c r="AM149" s="33"/>
      <c r="AN149" s="44"/>
      <c r="AO149" s="44"/>
      <c r="AP149" s="33"/>
      <c r="AQ149" s="33"/>
      <c r="AR149" s="33"/>
      <c r="AS149" s="33"/>
      <c r="AT149" s="33"/>
      <c r="AU149" s="33"/>
      <c r="AV149" s="33"/>
      <c r="AW149" s="33"/>
      <c r="AX149" s="33">
        <v>14.4</v>
      </c>
      <c r="AY149" s="33"/>
      <c r="AZ149" s="33"/>
      <c r="BA149" s="33">
        <v>56</v>
      </c>
      <c r="BB149" s="33"/>
      <c r="BC149" s="33"/>
      <c r="BD149" s="33"/>
      <c r="BE149" s="44"/>
      <c r="BF149" s="33"/>
      <c r="BG149" s="44"/>
      <c r="BH149" s="33"/>
      <c r="BI149" s="33"/>
      <c r="BJ149" s="33"/>
      <c r="BK149" s="33"/>
      <c r="BL149" s="33"/>
      <c r="BM149" s="33"/>
      <c r="BN149" s="33"/>
      <c r="BO149" s="33"/>
      <c r="BP149" s="33"/>
      <c r="BQ149" s="33">
        <v>11</v>
      </c>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5"/>
      <c r="CO149" s="35"/>
      <c r="CP149" s="35"/>
      <c r="CQ149" s="35"/>
      <c r="CR149" s="35"/>
      <c r="CS149" s="35"/>
      <c r="CT149" s="35"/>
      <c r="CU149" s="35"/>
      <c r="CV149" s="35"/>
      <c r="CW149" s="35"/>
      <c r="CX149" s="35"/>
      <c r="CY149" s="35"/>
    </row>
    <row r="150" spans="1:103" s="36" customFormat="1" x14ac:dyDescent="0.2">
      <c r="A150" s="58">
        <v>139</v>
      </c>
      <c r="B150" s="14" t="s">
        <v>1429</v>
      </c>
      <c r="C150" s="30" t="s">
        <v>79</v>
      </c>
      <c r="D150" s="31" t="s">
        <v>247</v>
      </c>
      <c r="E150" s="31"/>
      <c r="F150" s="31">
        <v>1998</v>
      </c>
      <c r="G150" s="32" t="s">
        <v>249</v>
      </c>
      <c r="H150" s="41" t="s">
        <v>248</v>
      </c>
      <c r="I150" s="31" t="s">
        <v>8</v>
      </c>
      <c r="J150" s="32" t="s">
        <v>109</v>
      </c>
      <c r="K150" s="32" t="s">
        <v>1471</v>
      </c>
      <c r="L150" s="31" t="s">
        <v>31</v>
      </c>
      <c r="M150" s="31" t="s">
        <v>11</v>
      </c>
      <c r="N150" s="31" t="s">
        <v>75</v>
      </c>
      <c r="O150" s="31" t="s">
        <v>890</v>
      </c>
      <c r="P150" s="31" t="s">
        <v>333</v>
      </c>
      <c r="Q150" s="32" t="s">
        <v>313</v>
      </c>
      <c r="R150" s="32" t="s">
        <v>1174</v>
      </c>
      <c r="S150" s="31" t="s">
        <v>23</v>
      </c>
      <c r="T150" s="31" t="s">
        <v>320</v>
      </c>
      <c r="U150" s="53" t="s">
        <v>321</v>
      </c>
      <c r="V150" s="57">
        <v>5</v>
      </c>
      <c r="W150" s="57" t="str">
        <f t="shared" si="24"/>
        <v>S</v>
      </c>
      <c r="X150" s="31" t="s">
        <v>131</v>
      </c>
      <c r="Y150" s="31" t="s">
        <v>388</v>
      </c>
      <c r="Z150" s="31" t="s">
        <v>194</v>
      </c>
      <c r="AA150" s="31" t="s">
        <v>1173</v>
      </c>
      <c r="AB150" s="53" t="s">
        <v>321</v>
      </c>
      <c r="AC150" s="15">
        <v>5</v>
      </c>
      <c r="AD150" s="15" t="str">
        <f t="shared" si="20"/>
        <v>S</v>
      </c>
      <c r="AE150" s="31" t="s">
        <v>772</v>
      </c>
      <c r="AF150" s="31" t="s">
        <v>388</v>
      </c>
      <c r="AG150" s="33">
        <v>595</v>
      </c>
      <c r="AH150" s="33">
        <v>197</v>
      </c>
      <c r="AI150" s="33">
        <v>197</v>
      </c>
      <c r="AJ150" s="33">
        <f>+AI150-AK150</f>
        <v>167</v>
      </c>
      <c r="AK150" s="33">
        <v>30</v>
      </c>
      <c r="AL150" s="44"/>
      <c r="AM150" s="33"/>
      <c r="AN150" s="44"/>
      <c r="AO150" s="44"/>
      <c r="AP150" s="33"/>
      <c r="AQ150" s="33"/>
      <c r="AR150" s="33"/>
      <c r="AS150" s="33"/>
      <c r="AT150" s="33"/>
      <c r="AU150" s="33"/>
      <c r="AV150" s="33"/>
      <c r="AW150" s="33"/>
      <c r="AX150" s="33"/>
      <c r="AY150" s="33"/>
      <c r="AZ150" s="33"/>
      <c r="BA150" s="33">
        <v>398</v>
      </c>
      <c r="BB150" s="33">
        <v>398</v>
      </c>
      <c r="BC150" s="33">
        <f>+BB150-BD150</f>
        <v>306</v>
      </c>
      <c r="BD150" s="33">
        <v>92</v>
      </c>
      <c r="BE150" s="44"/>
      <c r="BF150" s="33"/>
      <c r="BG150" s="44"/>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5"/>
      <c r="CO150" s="35"/>
      <c r="CP150" s="35"/>
      <c r="CQ150" s="35"/>
      <c r="CR150" s="35"/>
      <c r="CS150" s="35"/>
      <c r="CT150" s="35"/>
      <c r="CU150" s="35"/>
      <c r="CV150" s="35"/>
      <c r="CW150" s="35"/>
      <c r="CX150" s="35"/>
      <c r="CY150" s="35"/>
    </row>
    <row r="151" spans="1:103" s="29" customFormat="1" x14ac:dyDescent="0.2">
      <c r="A151" s="58">
        <v>140</v>
      </c>
      <c r="B151" s="14" t="s">
        <v>1429</v>
      </c>
      <c r="C151" s="30" t="s">
        <v>79</v>
      </c>
      <c r="D151" s="31" t="s">
        <v>279</v>
      </c>
      <c r="E151" s="31"/>
      <c r="F151" s="31">
        <v>1996</v>
      </c>
      <c r="G151" s="32" t="s">
        <v>291</v>
      </c>
      <c r="H151" s="32"/>
      <c r="I151" s="31" t="s">
        <v>8</v>
      </c>
      <c r="J151" s="32" t="s">
        <v>76</v>
      </c>
      <c r="K151" s="32" t="s">
        <v>1471</v>
      </c>
      <c r="L151" s="15" t="s">
        <v>68</v>
      </c>
      <c r="M151" s="31" t="s">
        <v>11</v>
      </c>
      <c r="N151" s="31" t="s">
        <v>75</v>
      </c>
      <c r="O151" s="31" t="s">
        <v>1177</v>
      </c>
      <c r="P151" s="31" t="s">
        <v>285</v>
      </c>
      <c r="Q151" s="32" t="s">
        <v>313</v>
      </c>
      <c r="R151" s="32" t="s">
        <v>1175</v>
      </c>
      <c r="S151" s="31" t="s">
        <v>278</v>
      </c>
      <c r="T151" s="31" t="s">
        <v>1172</v>
      </c>
      <c r="U151" s="31" t="s">
        <v>1178</v>
      </c>
      <c r="V151" s="57">
        <v>5</v>
      </c>
      <c r="W151" s="57" t="str">
        <f t="shared" si="24"/>
        <v>S</v>
      </c>
      <c r="X151" s="31" t="s">
        <v>131</v>
      </c>
      <c r="Y151" s="31" t="s">
        <v>388</v>
      </c>
      <c r="Z151" s="31" t="s">
        <v>1469</v>
      </c>
      <c r="AA151" s="32" t="s">
        <v>1176</v>
      </c>
      <c r="AB151" s="31" t="s">
        <v>1178</v>
      </c>
      <c r="AC151" s="15">
        <v>5</v>
      </c>
      <c r="AD151" s="15" t="str">
        <f t="shared" si="20"/>
        <v>S</v>
      </c>
      <c r="AE151" s="31" t="s">
        <v>131</v>
      </c>
      <c r="AF151" s="31" t="s">
        <v>388</v>
      </c>
      <c r="AG151" s="33">
        <f>52+49</f>
        <v>101</v>
      </c>
      <c r="AH151" s="33">
        <v>52</v>
      </c>
      <c r="AI151" s="33">
        <v>52</v>
      </c>
      <c r="AJ151" s="33">
        <v>42</v>
      </c>
      <c r="AK151" s="33">
        <v>10</v>
      </c>
      <c r="AL151" s="44"/>
      <c r="AM151" s="33"/>
      <c r="AN151" s="44"/>
      <c r="AO151" s="44"/>
      <c r="AP151" s="33"/>
      <c r="AQ151" s="33"/>
      <c r="AR151" s="33"/>
      <c r="AS151" s="33"/>
      <c r="AT151" s="33"/>
      <c r="AU151" s="33"/>
      <c r="AV151" s="33"/>
      <c r="AW151" s="33"/>
      <c r="AX151" s="33">
        <v>6.19</v>
      </c>
      <c r="AY151" s="33"/>
      <c r="AZ151" s="33"/>
      <c r="BA151" s="33">
        <v>49</v>
      </c>
      <c r="BB151" s="33">
        <v>49</v>
      </c>
      <c r="BC151" s="33">
        <v>44</v>
      </c>
      <c r="BD151" s="33">
        <v>5</v>
      </c>
      <c r="BE151" s="44"/>
      <c r="BF151" s="33"/>
      <c r="BG151" s="44"/>
      <c r="BH151" s="33"/>
      <c r="BI151" s="33"/>
      <c r="BJ151" s="33"/>
      <c r="BK151" s="33"/>
      <c r="BL151" s="33"/>
      <c r="BM151" s="33"/>
      <c r="BN151" s="33"/>
      <c r="BO151" s="33">
        <v>6.29</v>
      </c>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5"/>
      <c r="CO151" s="35"/>
      <c r="CP151" s="35"/>
      <c r="CQ151" s="35"/>
      <c r="CR151" s="35"/>
      <c r="CS151" s="35"/>
      <c r="CT151" s="35"/>
      <c r="CU151" s="35"/>
      <c r="CV151" s="35"/>
      <c r="CW151" s="35"/>
      <c r="CX151" s="35"/>
      <c r="CY151" s="35"/>
    </row>
    <row r="152" spans="1:103" s="36" customFormat="1" x14ac:dyDescent="0.2">
      <c r="A152" s="58">
        <v>141</v>
      </c>
      <c r="B152" s="14" t="s">
        <v>1429</v>
      </c>
      <c r="C152" s="30" t="s">
        <v>79</v>
      </c>
      <c r="D152" s="31" t="s">
        <v>65</v>
      </c>
      <c r="E152" s="31" t="s">
        <v>384</v>
      </c>
      <c r="F152" s="31">
        <v>1991</v>
      </c>
      <c r="G152" s="32" t="s">
        <v>429</v>
      </c>
      <c r="H152" s="32" t="s">
        <v>428</v>
      </c>
      <c r="I152" s="31" t="s">
        <v>8</v>
      </c>
      <c r="J152" s="32" t="s">
        <v>35</v>
      </c>
      <c r="K152" s="32" t="s">
        <v>1472</v>
      </c>
      <c r="L152" s="31" t="s">
        <v>31</v>
      </c>
      <c r="M152" s="15" t="s">
        <v>25</v>
      </c>
      <c r="N152" s="31" t="s">
        <v>201</v>
      </c>
      <c r="O152" s="31" t="s">
        <v>411</v>
      </c>
      <c r="P152" s="31" t="s">
        <v>285</v>
      </c>
      <c r="Q152" s="31" t="s">
        <v>313</v>
      </c>
      <c r="R152" s="32" t="s">
        <v>430</v>
      </c>
      <c r="S152" s="31" t="s">
        <v>50</v>
      </c>
      <c r="T152" s="31" t="s">
        <v>467</v>
      </c>
      <c r="U152" s="31">
        <v>3</v>
      </c>
      <c r="V152" s="57">
        <f t="shared" si="18"/>
        <v>3</v>
      </c>
      <c r="W152" s="57" t="str">
        <f t="shared" si="24"/>
        <v>S</v>
      </c>
      <c r="X152" s="31" t="s">
        <v>16</v>
      </c>
      <c r="Y152" s="31" t="s">
        <v>14</v>
      </c>
      <c r="Z152" s="31" t="s">
        <v>67</v>
      </c>
      <c r="AA152" s="31" t="s">
        <v>1186</v>
      </c>
      <c r="AB152" s="31">
        <v>10</v>
      </c>
      <c r="AC152" s="15">
        <f t="shared" si="19"/>
        <v>10</v>
      </c>
      <c r="AD152" s="15" t="str">
        <f t="shared" si="20"/>
        <v>L</v>
      </c>
      <c r="AE152" s="31" t="s">
        <v>511</v>
      </c>
      <c r="AF152" s="31" t="s">
        <v>14</v>
      </c>
      <c r="AG152" s="33">
        <v>119</v>
      </c>
      <c r="AH152" s="33">
        <v>53</v>
      </c>
      <c r="AI152" s="33"/>
      <c r="AJ152" s="33"/>
      <c r="AK152" s="33"/>
      <c r="AL152" s="44">
        <v>32</v>
      </c>
      <c r="AM152" s="33">
        <v>30</v>
      </c>
      <c r="AN152" s="44">
        <v>2</v>
      </c>
      <c r="AO152" s="44">
        <v>46</v>
      </c>
      <c r="AP152" s="33">
        <v>37</v>
      </c>
      <c r="AQ152" s="33">
        <f>+AO152-AP152</f>
        <v>9</v>
      </c>
      <c r="AR152" s="33">
        <v>1</v>
      </c>
      <c r="AS152" s="33"/>
      <c r="AT152" s="33">
        <v>10</v>
      </c>
      <c r="AU152" s="33"/>
      <c r="AV152" s="33"/>
      <c r="AW152" s="33">
        <v>1</v>
      </c>
      <c r="AX152" s="33"/>
      <c r="AY152" s="33"/>
      <c r="AZ152" s="33"/>
      <c r="BA152" s="33">
        <v>66</v>
      </c>
      <c r="BB152" s="33">
        <v>39</v>
      </c>
      <c r="BC152" s="33"/>
      <c r="BD152" s="33"/>
      <c r="BE152" s="44">
        <v>39</v>
      </c>
      <c r="BF152" s="33">
        <v>39</v>
      </c>
      <c r="BG152" s="44">
        <v>0</v>
      </c>
      <c r="BH152" s="33">
        <v>54</v>
      </c>
      <c r="BI152" s="33">
        <v>50</v>
      </c>
      <c r="BJ152" s="33">
        <v>4</v>
      </c>
      <c r="BK152" s="33">
        <v>2</v>
      </c>
      <c r="BL152" s="33"/>
      <c r="BM152" s="33">
        <v>8</v>
      </c>
      <c r="BN152" s="33"/>
      <c r="BO152" s="33"/>
      <c r="BP152" s="33">
        <v>2</v>
      </c>
      <c r="BQ152" s="33"/>
      <c r="BR152" s="33"/>
      <c r="BS152" s="33"/>
      <c r="BT152" s="33">
        <f>46+54</f>
        <v>100</v>
      </c>
      <c r="BU152" s="33">
        <f>13+17</f>
        <v>30</v>
      </c>
      <c r="BV152" s="33">
        <v>25</v>
      </c>
      <c r="BW152" s="33">
        <v>5</v>
      </c>
      <c r="BX152" s="33"/>
      <c r="BY152" s="33">
        <v>10</v>
      </c>
      <c r="BZ152" s="33"/>
      <c r="CA152" s="33"/>
      <c r="CB152" s="33"/>
      <c r="CC152" s="33"/>
      <c r="CD152" s="33"/>
      <c r="CE152" s="33"/>
      <c r="CF152" s="33"/>
      <c r="CG152" s="33"/>
      <c r="CH152" s="33"/>
      <c r="CI152" s="33"/>
      <c r="CJ152" s="33"/>
      <c r="CK152" s="33"/>
      <c r="CL152" s="33"/>
      <c r="CM152" s="33"/>
      <c r="CN152" s="35"/>
      <c r="CO152" s="35"/>
      <c r="CP152" s="35"/>
      <c r="CQ152" s="35"/>
      <c r="CR152" s="35"/>
      <c r="CS152" s="35"/>
      <c r="CT152" s="35"/>
      <c r="CU152" s="35"/>
      <c r="CV152" s="35"/>
      <c r="CW152" s="35"/>
      <c r="CX152" s="35"/>
      <c r="CY152" s="35"/>
    </row>
    <row r="153" spans="1:103" s="36" customFormat="1" x14ac:dyDescent="0.2">
      <c r="A153" s="58">
        <v>142</v>
      </c>
      <c r="B153" s="14" t="s">
        <v>1429</v>
      </c>
      <c r="C153" s="30" t="s">
        <v>79</v>
      </c>
      <c r="D153" s="31" t="s">
        <v>58</v>
      </c>
      <c r="E153" s="31" t="s">
        <v>384</v>
      </c>
      <c r="F153" s="31">
        <v>1998</v>
      </c>
      <c r="G153" s="32" t="s">
        <v>376</v>
      </c>
      <c r="H153" s="32" t="s">
        <v>377</v>
      </c>
      <c r="I153" s="31" t="s">
        <v>8</v>
      </c>
      <c r="J153" s="32" t="s">
        <v>374</v>
      </c>
      <c r="K153" s="32" t="s">
        <v>366</v>
      </c>
      <c r="L153" s="31" t="s">
        <v>31</v>
      </c>
      <c r="M153" s="31" t="s">
        <v>11</v>
      </c>
      <c r="N153" s="31" t="s">
        <v>201</v>
      </c>
      <c r="O153" s="31" t="s">
        <v>458</v>
      </c>
      <c r="P153" s="31" t="s">
        <v>285</v>
      </c>
      <c r="Q153" s="31" t="s">
        <v>313</v>
      </c>
      <c r="R153" s="32" t="s">
        <v>375</v>
      </c>
      <c r="S153" s="31" t="s">
        <v>50</v>
      </c>
      <c r="T153" s="31" t="s">
        <v>405</v>
      </c>
      <c r="U153" s="31">
        <v>3</v>
      </c>
      <c r="V153" s="57">
        <f t="shared" si="18"/>
        <v>3</v>
      </c>
      <c r="W153" s="57" t="str">
        <f t="shared" si="24"/>
        <v>S</v>
      </c>
      <c r="X153" s="31" t="s">
        <v>16</v>
      </c>
      <c r="Y153" s="31" t="s">
        <v>14</v>
      </c>
      <c r="Z153" s="31" t="s">
        <v>54</v>
      </c>
      <c r="AA153" s="31" t="s">
        <v>1123</v>
      </c>
      <c r="AB153" s="31">
        <v>10</v>
      </c>
      <c r="AC153" s="15">
        <f t="shared" si="19"/>
        <v>10</v>
      </c>
      <c r="AD153" s="15" t="str">
        <f t="shared" si="20"/>
        <v>L</v>
      </c>
      <c r="AE153" s="31" t="s">
        <v>16</v>
      </c>
      <c r="AF153" s="31" t="s">
        <v>14</v>
      </c>
      <c r="AG153" s="33">
        <f>101+102</f>
        <v>203</v>
      </c>
      <c r="AH153" s="33">
        <v>101</v>
      </c>
      <c r="AI153" s="33"/>
      <c r="AJ153" s="33"/>
      <c r="AK153" s="33"/>
      <c r="AL153" s="44">
        <v>88</v>
      </c>
      <c r="AM153" s="33">
        <v>83</v>
      </c>
      <c r="AN153" s="44">
        <v>5</v>
      </c>
      <c r="AO153" s="44">
        <f>6+2+6+18</f>
        <v>32</v>
      </c>
      <c r="AP153" s="33">
        <f>17+6+2+5</f>
        <v>30</v>
      </c>
      <c r="AQ153" s="33">
        <v>2</v>
      </c>
      <c r="AR153" s="33"/>
      <c r="AS153" s="33"/>
      <c r="AT153" s="33">
        <v>14</v>
      </c>
      <c r="AU153" s="33">
        <v>0</v>
      </c>
      <c r="AV153" s="33"/>
      <c r="AW153" s="33"/>
      <c r="AX153" s="33"/>
      <c r="AY153" s="33"/>
      <c r="AZ153" s="33"/>
      <c r="BA153" s="33">
        <v>102</v>
      </c>
      <c r="BB153" s="33"/>
      <c r="BC153" s="33"/>
      <c r="BD153" s="33"/>
      <c r="BE153" s="44">
        <v>88</v>
      </c>
      <c r="BF153" s="33">
        <v>84</v>
      </c>
      <c r="BG153" s="44">
        <v>4</v>
      </c>
      <c r="BH153" s="33">
        <f>12+3+1+3+16</f>
        <v>35</v>
      </c>
      <c r="BI153" s="33">
        <f>15+3+14</f>
        <v>32</v>
      </c>
      <c r="BJ153" s="33">
        <v>3</v>
      </c>
      <c r="BK153" s="33"/>
      <c r="BL153" s="33"/>
      <c r="BM153" s="33">
        <v>13</v>
      </c>
      <c r="BN153" s="33">
        <v>0</v>
      </c>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5"/>
      <c r="CO153" s="35"/>
      <c r="CP153" s="35"/>
      <c r="CQ153" s="35"/>
      <c r="CR153" s="35"/>
      <c r="CS153" s="35"/>
      <c r="CT153" s="35"/>
      <c r="CU153" s="35"/>
      <c r="CV153" s="35"/>
      <c r="CW153" s="35"/>
      <c r="CX153" s="35"/>
      <c r="CY153" s="35"/>
    </row>
    <row r="154" spans="1:103" s="36" customFormat="1" x14ac:dyDescent="0.2">
      <c r="A154" s="58">
        <v>143</v>
      </c>
      <c r="B154" s="14" t="s">
        <v>1429</v>
      </c>
      <c r="C154" s="30" t="s">
        <v>79</v>
      </c>
      <c r="D154" s="31" t="s">
        <v>59</v>
      </c>
      <c r="E154" s="31" t="s">
        <v>384</v>
      </c>
      <c r="F154" s="31">
        <v>1994</v>
      </c>
      <c r="G154" s="32" t="s">
        <v>461</v>
      </c>
      <c r="H154" s="32" t="s">
        <v>462</v>
      </c>
      <c r="I154" s="31" t="s">
        <v>8</v>
      </c>
      <c r="J154" s="32" t="s">
        <v>60</v>
      </c>
      <c r="K154" s="32" t="s">
        <v>366</v>
      </c>
      <c r="L154" s="31" t="s">
        <v>31</v>
      </c>
      <c r="M154" s="15" t="s">
        <v>25</v>
      </c>
      <c r="N154" s="31" t="s">
        <v>201</v>
      </c>
      <c r="O154" s="31" t="s">
        <v>459</v>
      </c>
      <c r="P154" s="31" t="s">
        <v>285</v>
      </c>
      <c r="Q154" s="31" t="s">
        <v>313</v>
      </c>
      <c r="R154" s="32" t="s">
        <v>466</v>
      </c>
      <c r="S154" s="31" t="s">
        <v>50</v>
      </c>
      <c r="T154" s="31" t="s">
        <v>405</v>
      </c>
      <c r="U154" s="31">
        <v>3</v>
      </c>
      <c r="V154" s="57">
        <f t="shared" si="18"/>
        <v>3</v>
      </c>
      <c r="W154" s="57" t="str">
        <f t="shared" si="24"/>
        <v>S</v>
      </c>
      <c r="X154" s="31" t="s">
        <v>16</v>
      </c>
      <c r="Y154" s="31" t="s">
        <v>14</v>
      </c>
      <c r="Z154" s="31" t="s">
        <v>61</v>
      </c>
      <c r="AA154" s="31" t="s">
        <v>1185</v>
      </c>
      <c r="AB154" s="31">
        <v>10</v>
      </c>
      <c r="AC154" s="15">
        <f t="shared" si="19"/>
        <v>10</v>
      </c>
      <c r="AD154" s="15" t="str">
        <f t="shared" si="20"/>
        <v>L</v>
      </c>
      <c r="AE154" s="31" t="s">
        <v>16</v>
      </c>
      <c r="AF154" s="31" t="s">
        <v>14</v>
      </c>
      <c r="AG154" s="33">
        <f>90+60</f>
        <v>150</v>
      </c>
      <c r="AH154" s="33">
        <v>90</v>
      </c>
      <c r="AI154" s="33"/>
      <c r="AJ154" s="33"/>
      <c r="AK154" s="33"/>
      <c r="AL154" s="44">
        <v>89</v>
      </c>
      <c r="AM154" s="33">
        <v>88</v>
      </c>
      <c r="AN154" s="44">
        <v>1</v>
      </c>
      <c r="AO154" s="44"/>
      <c r="AP154" s="33"/>
      <c r="AQ154" s="33"/>
      <c r="AR154" s="33"/>
      <c r="AS154" s="33">
        <v>3</v>
      </c>
      <c r="AT154" s="33"/>
      <c r="AU154" s="33"/>
      <c r="AV154" s="33"/>
      <c r="AW154" s="33"/>
      <c r="AX154" s="33"/>
      <c r="AY154" s="33"/>
      <c r="AZ154" s="33"/>
      <c r="BA154" s="33">
        <v>60</v>
      </c>
      <c r="BB154" s="33"/>
      <c r="BC154" s="33"/>
      <c r="BD154" s="33"/>
      <c r="BE154" s="44">
        <v>53</v>
      </c>
      <c r="BF154" s="33">
        <v>50</v>
      </c>
      <c r="BG154" s="44">
        <v>3</v>
      </c>
      <c r="BH154" s="33"/>
      <c r="BI154" s="33"/>
      <c r="BJ154" s="33"/>
      <c r="BK154" s="33"/>
      <c r="BL154" s="33">
        <v>3</v>
      </c>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5"/>
      <c r="CO154" s="35"/>
      <c r="CP154" s="35"/>
      <c r="CQ154" s="35"/>
      <c r="CR154" s="35"/>
      <c r="CS154" s="35"/>
      <c r="CT154" s="35"/>
      <c r="CU154" s="35"/>
      <c r="CV154" s="35"/>
      <c r="CW154" s="35"/>
      <c r="CX154" s="35"/>
      <c r="CY154" s="35"/>
    </row>
    <row r="155" spans="1:103" s="36" customFormat="1" x14ac:dyDescent="0.2">
      <c r="A155" s="58">
        <v>144</v>
      </c>
      <c r="B155" s="14" t="s">
        <v>1429</v>
      </c>
      <c r="C155" s="30" t="s">
        <v>79</v>
      </c>
      <c r="D155" s="31" t="s">
        <v>59</v>
      </c>
      <c r="E155" s="31" t="s">
        <v>384</v>
      </c>
      <c r="F155" s="31">
        <v>1990</v>
      </c>
      <c r="G155" s="32" t="s">
        <v>464</v>
      </c>
      <c r="H155" s="32" t="s">
        <v>463</v>
      </c>
      <c r="I155" s="31" t="s">
        <v>8</v>
      </c>
      <c r="J155" s="32" t="s">
        <v>60</v>
      </c>
      <c r="K155" s="32" t="s">
        <v>366</v>
      </c>
      <c r="L155" s="31" t="s">
        <v>31</v>
      </c>
      <c r="M155" s="15" t="s">
        <v>25</v>
      </c>
      <c r="N155" s="31" t="s">
        <v>201</v>
      </c>
      <c r="O155" s="31" t="s">
        <v>458</v>
      </c>
      <c r="P155" s="31" t="s">
        <v>285</v>
      </c>
      <c r="Q155" s="31" t="s">
        <v>313</v>
      </c>
      <c r="R155" s="32" t="s">
        <v>465</v>
      </c>
      <c r="S155" s="31" t="s">
        <v>50</v>
      </c>
      <c r="T155" s="31" t="s">
        <v>467</v>
      </c>
      <c r="U155" s="31">
        <v>3</v>
      </c>
      <c r="V155" s="57">
        <f t="shared" si="18"/>
        <v>3</v>
      </c>
      <c r="W155" s="57" t="str">
        <f t="shared" si="24"/>
        <v>S</v>
      </c>
      <c r="X155" s="31" t="s">
        <v>16</v>
      </c>
      <c r="Y155" s="31" t="s">
        <v>14</v>
      </c>
      <c r="Z155" s="31" t="s">
        <v>198</v>
      </c>
      <c r="AA155" s="31" t="s">
        <v>903</v>
      </c>
      <c r="AB155" s="31">
        <v>10</v>
      </c>
      <c r="AC155" s="15">
        <f t="shared" si="19"/>
        <v>10</v>
      </c>
      <c r="AD155" s="15" t="str">
        <f t="shared" si="20"/>
        <v>L</v>
      </c>
      <c r="AE155" s="31" t="s">
        <v>16</v>
      </c>
      <c r="AF155" s="31" t="s">
        <v>14</v>
      </c>
      <c r="AG155" s="33">
        <f>57+44</f>
        <v>101</v>
      </c>
      <c r="AH155" s="33">
        <v>57</v>
      </c>
      <c r="AI155" s="33"/>
      <c r="AJ155" s="33"/>
      <c r="AK155" s="33"/>
      <c r="AL155" s="44">
        <v>39</v>
      </c>
      <c r="AM155" s="33">
        <v>39</v>
      </c>
      <c r="AN155" s="44">
        <v>0</v>
      </c>
      <c r="AO155" s="44"/>
      <c r="AP155" s="33"/>
      <c r="AQ155" s="33"/>
      <c r="AR155" s="33"/>
      <c r="AS155" s="33">
        <v>1</v>
      </c>
      <c r="AT155" s="33"/>
      <c r="AU155" s="33"/>
      <c r="AV155" s="33"/>
      <c r="AW155" s="33"/>
      <c r="AX155" s="33"/>
      <c r="AY155" s="33"/>
      <c r="AZ155" s="33"/>
      <c r="BA155" s="33">
        <v>44</v>
      </c>
      <c r="BB155" s="33"/>
      <c r="BC155" s="33"/>
      <c r="BD155" s="33"/>
      <c r="BE155" s="44">
        <v>32</v>
      </c>
      <c r="BF155" s="33">
        <v>32</v>
      </c>
      <c r="BG155" s="44">
        <v>0</v>
      </c>
      <c r="BH155" s="33"/>
      <c r="BI155" s="33"/>
      <c r="BJ155" s="33"/>
      <c r="BK155" s="33"/>
      <c r="BL155" s="33">
        <v>6</v>
      </c>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5"/>
      <c r="CO155" s="35"/>
      <c r="CP155" s="35"/>
      <c r="CQ155" s="35"/>
      <c r="CR155" s="35"/>
      <c r="CS155" s="35"/>
      <c r="CT155" s="35"/>
      <c r="CU155" s="35"/>
      <c r="CV155" s="35"/>
      <c r="CW155" s="35"/>
      <c r="CX155" s="35"/>
      <c r="CY155" s="35"/>
    </row>
    <row r="156" spans="1:103" s="19" customFormat="1" x14ac:dyDescent="0.2">
      <c r="A156" s="58">
        <v>145</v>
      </c>
      <c r="B156" s="14" t="s">
        <v>1429</v>
      </c>
      <c r="C156" s="14" t="s">
        <v>79</v>
      </c>
      <c r="D156" s="15" t="s">
        <v>225</v>
      </c>
      <c r="E156" s="15"/>
      <c r="F156" s="15">
        <v>2004</v>
      </c>
      <c r="G156" s="16" t="s">
        <v>226</v>
      </c>
      <c r="H156" s="16"/>
      <c r="I156" s="15" t="s">
        <v>8</v>
      </c>
      <c r="J156" s="16" t="s">
        <v>189</v>
      </c>
      <c r="K156" s="16" t="s">
        <v>366</v>
      </c>
      <c r="L156" s="15" t="s">
        <v>68</v>
      </c>
      <c r="M156" s="15" t="s">
        <v>25</v>
      </c>
      <c r="N156" s="15" t="s">
        <v>201</v>
      </c>
      <c r="O156" s="15" t="s">
        <v>404</v>
      </c>
      <c r="P156" s="31" t="s">
        <v>333</v>
      </c>
      <c r="Q156" s="15" t="s">
        <v>313</v>
      </c>
      <c r="R156" s="16" t="s">
        <v>1195</v>
      </c>
      <c r="S156" s="15" t="s">
        <v>33</v>
      </c>
      <c r="T156" s="15" t="s">
        <v>903</v>
      </c>
      <c r="U156" s="15" t="s">
        <v>1450</v>
      </c>
      <c r="V156" s="57">
        <v>12</v>
      </c>
      <c r="W156" s="57" t="str">
        <f t="shared" si="24"/>
        <v>L</v>
      </c>
      <c r="X156" s="15" t="s">
        <v>13</v>
      </c>
      <c r="Y156" s="15" t="s">
        <v>14</v>
      </c>
      <c r="Z156" s="15" t="s">
        <v>1192</v>
      </c>
      <c r="AA156" s="15" t="s">
        <v>1194</v>
      </c>
      <c r="AB156" s="31" t="s">
        <v>1451</v>
      </c>
      <c r="AC156" s="15">
        <v>13</v>
      </c>
      <c r="AD156" s="15" t="str">
        <f t="shared" si="20"/>
        <v>L</v>
      </c>
      <c r="AE156" s="16" t="s">
        <v>1193</v>
      </c>
      <c r="AF156" s="15" t="s">
        <v>14</v>
      </c>
      <c r="AG156" s="17">
        <f>79+37</f>
        <v>116</v>
      </c>
      <c r="AH156" s="17">
        <v>79</v>
      </c>
      <c r="AI156" s="17">
        <v>79</v>
      </c>
      <c r="AJ156" s="17">
        <v>72</v>
      </c>
      <c r="AK156" s="17">
        <f>+AI156-AJ156</f>
        <v>7</v>
      </c>
      <c r="AL156" s="47">
        <v>79</v>
      </c>
      <c r="AM156" s="17">
        <v>72</v>
      </c>
      <c r="AN156" s="47">
        <f>+AL156-AM156</f>
        <v>7</v>
      </c>
      <c r="AO156" s="47"/>
      <c r="AP156" s="17"/>
      <c r="AQ156" s="17"/>
      <c r="AR156" s="17">
        <v>2</v>
      </c>
      <c r="AS156" s="17">
        <v>3</v>
      </c>
      <c r="AT156" s="17"/>
      <c r="AU156" s="17"/>
      <c r="AV156" s="17"/>
      <c r="AW156" s="17">
        <v>0</v>
      </c>
      <c r="AX156" s="17">
        <v>8</v>
      </c>
      <c r="AY156" s="17"/>
      <c r="AZ156" s="17"/>
      <c r="BA156" s="17">
        <v>37</v>
      </c>
      <c r="BB156" s="17">
        <v>37</v>
      </c>
      <c r="BC156" s="17">
        <v>34</v>
      </c>
      <c r="BD156" s="17">
        <v>3</v>
      </c>
      <c r="BE156" s="47">
        <v>37</v>
      </c>
      <c r="BF156" s="17">
        <v>34</v>
      </c>
      <c r="BG156" s="47">
        <v>3</v>
      </c>
      <c r="BH156" s="17"/>
      <c r="BI156" s="17"/>
      <c r="BJ156" s="17"/>
      <c r="BK156" s="17">
        <v>1</v>
      </c>
      <c r="BL156" s="17">
        <v>0</v>
      </c>
      <c r="BM156" s="17"/>
      <c r="BN156" s="17"/>
      <c r="BO156" s="17"/>
      <c r="BP156" s="17">
        <v>1</v>
      </c>
      <c r="BQ156" s="17">
        <v>10</v>
      </c>
      <c r="BR156" s="17"/>
      <c r="BS156" s="17"/>
      <c r="BT156" s="17">
        <f>22+12</f>
        <v>34</v>
      </c>
      <c r="BU156" s="17">
        <f>11+8</f>
        <v>19</v>
      </c>
      <c r="BV156" s="17">
        <v>4</v>
      </c>
      <c r="BW156" s="17">
        <v>1</v>
      </c>
      <c r="BX156" s="17"/>
      <c r="BY156" s="17">
        <v>2</v>
      </c>
      <c r="BZ156" s="17">
        <v>1</v>
      </c>
      <c r="CA156" s="17"/>
      <c r="CB156" s="17"/>
      <c r="CC156" s="17"/>
      <c r="CD156" s="17"/>
      <c r="CE156" s="17"/>
      <c r="CF156" s="17"/>
      <c r="CG156" s="17"/>
      <c r="CH156" s="17"/>
      <c r="CI156" s="17"/>
      <c r="CJ156" s="17"/>
      <c r="CK156" s="17"/>
      <c r="CL156" s="17"/>
      <c r="CM156" s="17"/>
      <c r="CN156" s="18"/>
      <c r="CO156" s="18"/>
      <c r="CP156" s="18"/>
      <c r="CQ156" s="18"/>
      <c r="CR156" s="18"/>
      <c r="CS156" s="18"/>
      <c r="CT156" s="18"/>
      <c r="CU156" s="18"/>
      <c r="CV156" s="18"/>
      <c r="CW156" s="18"/>
      <c r="CX156" s="18"/>
      <c r="CY156" s="18"/>
    </row>
    <row r="157" spans="1:103" s="19" customFormat="1" x14ac:dyDescent="0.2">
      <c r="A157" s="58">
        <v>146</v>
      </c>
      <c r="B157" s="14" t="s">
        <v>1429</v>
      </c>
      <c r="C157" s="14" t="s">
        <v>79</v>
      </c>
      <c r="D157" s="15" t="s">
        <v>203</v>
      </c>
      <c r="E157" s="15"/>
      <c r="F157" s="15">
        <v>2002</v>
      </c>
      <c r="G157" s="16" t="s">
        <v>1191</v>
      </c>
      <c r="H157" s="16"/>
      <c r="I157" s="15" t="s">
        <v>8</v>
      </c>
      <c r="J157" s="16" t="s">
        <v>1200</v>
      </c>
      <c r="K157" s="16" t="s">
        <v>1473</v>
      </c>
      <c r="L157" s="15" t="s">
        <v>68</v>
      </c>
      <c r="M157" s="15" t="s">
        <v>25</v>
      </c>
      <c r="N157" s="15" t="s">
        <v>201</v>
      </c>
      <c r="O157" s="15" t="s">
        <v>404</v>
      </c>
      <c r="P157" s="31" t="s">
        <v>333</v>
      </c>
      <c r="Q157" s="15" t="s">
        <v>313</v>
      </c>
      <c r="R157" s="16" t="s">
        <v>1199</v>
      </c>
      <c r="S157" s="15" t="s">
        <v>24</v>
      </c>
      <c r="T157" s="15" t="s">
        <v>445</v>
      </c>
      <c r="U157" s="15" t="s">
        <v>354</v>
      </c>
      <c r="V157" s="57">
        <v>10</v>
      </c>
      <c r="W157" s="57" t="str">
        <f t="shared" si="24"/>
        <v>L</v>
      </c>
      <c r="X157" s="15" t="s">
        <v>13</v>
      </c>
      <c r="Y157" s="15" t="s">
        <v>14</v>
      </c>
      <c r="Z157" s="15" t="s">
        <v>1198</v>
      </c>
      <c r="AA157" s="15" t="s">
        <v>1196</v>
      </c>
      <c r="AB157" s="15" t="s">
        <v>1197</v>
      </c>
      <c r="AC157" s="15">
        <v>10</v>
      </c>
      <c r="AD157" s="15" t="str">
        <f t="shared" si="20"/>
        <v>L</v>
      </c>
      <c r="AE157" s="16" t="s">
        <v>511</v>
      </c>
      <c r="AF157" s="15" t="s">
        <v>14</v>
      </c>
      <c r="AG157" s="17">
        <v>345</v>
      </c>
      <c r="AH157" s="17">
        <v>172</v>
      </c>
      <c r="AI157" s="17"/>
      <c r="AJ157" s="17"/>
      <c r="AK157" s="17"/>
      <c r="AL157" s="47">
        <v>123</v>
      </c>
      <c r="AM157" s="17">
        <v>118</v>
      </c>
      <c r="AN157" s="47">
        <v>5</v>
      </c>
      <c r="AO157" s="47">
        <v>87</v>
      </c>
      <c r="AP157" s="17">
        <f>76+4</f>
        <v>80</v>
      </c>
      <c r="AQ157" s="17">
        <v>7</v>
      </c>
      <c r="AR157" s="17">
        <v>4</v>
      </c>
      <c r="AS157" s="17">
        <v>118</v>
      </c>
      <c r="AT157" s="17"/>
      <c r="AU157" s="17"/>
      <c r="AV157" s="17"/>
      <c r="AW157" s="17">
        <v>3</v>
      </c>
      <c r="AX157" s="17">
        <v>8</v>
      </c>
      <c r="AY157" s="17"/>
      <c r="AZ157" s="17"/>
      <c r="BA157" s="17">
        <v>173</v>
      </c>
      <c r="BB157" s="17"/>
      <c r="BC157" s="17"/>
      <c r="BD157" s="17"/>
      <c r="BE157" s="47">
        <v>129</v>
      </c>
      <c r="BF157" s="17">
        <v>124</v>
      </c>
      <c r="BG157" s="47">
        <f>+BE157-BF157</f>
        <v>5</v>
      </c>
      <c r="BH157" s="17">
        <v>89</v>
      </c>
      <c r="BI157" s="17">
        <f>76+4</f>
        <v>80</v>
      </c>
      <c r="BJ157" s="17">
        <v>9</v>
      </c>
      <c r="BK157" s="17">
        <v>3</v>
      </c>
      <c r="BL157" s="17">
        <v>107</v>
      </c>
      <c r="BM157" s="17"/>
      <c r="BN157" s="17"/>
      <c r="BO157" s="17"/>
      <c r="BP157" s="17">
        <v>6</v>
      </c>
      <c r="BQ157" s="17">
        <v>9</v>
      </c>
      <c r="BR157" s="17"/>
      <c r="BS157" s="17"/>
      <c r="BT157" s="17">
        <f>20+19+13+10+19+15+15+12+1</f>
        <v>124</v>
      </c>
      <c r="BU157" s="17">
        <f>20+19</f>
        <v>39</v>
      </c>
      <c r="BV157" s="17">
        <f>7+12</f>
        <v>19</v>
      </c>
      <c r="BW157" s="17"/>
      <c r="BX157" s="17"/>
      <c r="BY157" s="17"/>
      <c r="BZ157" s="17">
        <f>13+15+3+1+19+15</f>
        <v>66</v>
      </c>
      <c r="CA157" s="17"/>
      <c r="CB157" s="17"/>
      <c r="CC157" s="17"/>
      <c r="CD157" s="17"/>
      <c r="CE157" s="17"/>
      <c r="CF157" s="17"/>
      <c r="CG157" s="17"/>
      <c r="CH157" s="17"/>
      <c r="CI157" s="17"/>
      <c r="CJ157" s="17"/>
      <c r="CK157" s="17"/>
      <c r="CL157" s="17"/>
      <c r="CM157" s="17"/>
      <c r="CN157" s="18"/>
      <c r="CO157" s="18"/>
      <c r="CP157" s="18"/>
      <c r="CQ157" s="18"/>
      <c r="CR157" s="18"/>
      <c r="CS157" s="18"/>
      <c r="CT157" s="18"/>
      <c r="CU157" s="18"/>
      <c r="CV157" s="18"/>
      <c r="CW157" s="18"/>
      <c r="CX157" s="18"/>
      <c r="CY157" s="18"/>
    </row>
    <row r="158" spans="1:103" s="36" customFormat="1" x14ac:dyDescent="0.2">
      <c r="A158" s="58">
        <v>147</v>
      </c>
      <c r="B158" s="30" t="s">
        <v>1429</v>
      </c>
      <c r="C158" s="30" t="s">
        <v>79</v>
      </c>
      <c r="D158" s="31" t="s">
        <v>1210</v>
      </c>
      <c r="E158" s="31"/>
      <c r="F158" s="31">
        <v>1995</v>
      </c>
      <c r="G158" s="32" t="s">
        <v>1211</v>
      </c>
      <c r="H158" s="32"/>
      <c r="I158" s="31" t="s">
        <v>8</v>
      </c>
      <c r="J158" s="32" t="s">
        <v>267</v>
      </c>
      <c r="K158" s="32" t="s">
        <v>366</v>
      </c>
      <c r="L158" s="31" t="s">
        <v>31</v>
      </c>
      <c r="M158" s="31" t="s">
        <v>11</v>
      </c>
      <c r="N158" s="31" t="s">
        <v>75</v>
      </c>
      <c r="O158" s="31" t="s">
        <v>1212</v>
      </c>
      <c r="P158" s="31" t="s">
        <v>285</v>
      </c>
      <c r="Q158" s="31" t="s">
        <v>313</v>
      </c>
      <c r="R158" s="32" t="s">
        <v>1217</v>
      </c>
      <c r="S158" s="31" t="s">
        <v>194</v>
      </c>
      <c r="T158" s="32" t="s">
        <v>1216</v>
      </c>
      <c r="U158" s="31">
        <v>10</v>
      </c>
      <c r="V158" s="57">
        <f t="shared" si="18"/>
        <v>10</v>
      </c>
      <c r="W158" s="57" t="str">
        <f t="shared" si="24"/>
        <v>L</v>
      </c>
      <c r="X158" s="31" t="s">
        <v>772</v>
      </c>
      <c r="Y158" s="31" t="s">
        <v>388</v>
      </c>
      <c r="Z158" s="31" t="s">
        <v>1213</v>
      </c>
      <c r="AA158" s="31" t="s">
        <v>1214</v>
      </c>
      <c r="AB158" s="31">
        <v>10</v>
      </c>
      <c r="AC158" s="15">
        <f t="shared" si="19"/>
        <v>10</v>
      </c>
      <c r="AD158" s="15" t="str">
        <f t="shared" si="20"/>
        <v>L</v>
      </c>
      <c r="AE158" s="31" t="s">
        <v>131</v>
      </c>
      <c r="AF158" s="31" t="s">
        <v>388</v>
      </c>
      <c r="AG158" s="33">
        <f>46+63</f>
        <v>109</v>
      </c>
      <c r="AH158" s="33">
        <v>46</v>
      </c>
      <c r="AI158" s="33">
        <v>40</v>
      </c>
      <c r="AJ158" s="33">
        <v>34</v>
      </c>
      <c r="AK158" s="33">
        <v>6</v>
      </c>
      <c r="AL158" s="44">
        <v>40</v>
      </c>
      <c r="AM158" s="33">
        <v>34</v>
      </c>
      <c r="AN158" s="44">
        <v>6</v>
      </c>
      <c r="AO158" s="44"/>
      <c r="AP158" s="33"/>
      <c r="AQ158" s="33"/>
      <c r="AR158" s="33"/>
      <c r="AS158" s="33">
        <v>0</v>
      </c>
      <c r="AT158" s="33">
        <v>0</v>
      </c>
      <c r="AU158" s="33">
        <v>0</v>
      </c>
      <c r="AV158" s="33">
        <v>0</v>
      </c>
      <c r="AW158" s="33">
        <v>0</v>
      </c>
      <c r="AX158" s="33"/>
      <c r="AY158" s="33"/>
      <c r="AZ158" s="33"/>
      <c r="BA158" s="33">
        <v>63</v>
      </c>
      <c r="BB158" s="33">
        <v>63</v>
      </c>
      <c r="BC158" s="33">
        <v>58</v>
      </c>
      <c r="BD158" s="33">
        <v>5</v>
      </c>
      <c r="BE158" s="44">
        <v>63</v>
      </c>
      <c r="BF158" s="33">
        <v>58</v>
      </c>
      <c r="BG158" s="44">
        <v>5</v>
      </c>
      <c r="BH158" s="33"/>
      <c r="BI158" s="33"/>
      <c r="BJ158" s="33"/>
      <c r="BK158" s="33"/>
      <c r="BL158" s="33">
        <v>0</v>
      </c>
      <c r="BM158" s="33">
        <v>0</v>
      </c>
      <c r="BN158" s="33">
        <v>0</v>
      </c>
      <c r="BO158" s="33">
        <v>0</v>
      </c>
      <c r="BP158" s="33">
        <v>0</v>
      </c>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5"/>
      <c r="CO158" s="35"/>
      <c r="CP158" s="35"/>
      <c r="CQ158" s="35"/>
      <c r="CR158" s="35"/>
      <c r="CS158" s="35"/>
      <c r="CT158" s="35"/>
      <c r="CU158" s="35"/>
      <c r="CV158" s="35"/>
      <c r="CW158" s="35"/>
      <c r="CX158" s="35"/>
      <c r="CY158" s="35"/>
    </row>
    <row r="159" spans="1:103" s="36" customFormat="1" x14ac:dyDescent="0.2">
      <c r="A159" s="58">
        <v>147</v>
      </c>
      <c r="B159" s="30" t="s">
        <v>1430</v>
      </c>
      <c r="C159" s="30" t="s">
        <v>79</v>
      </c>
      <c r="D159" s="31" t="s">
        <v>1210</v>
      </c>
      <c r="E159" s="31"/>
      <c r="F159" s="31">
        <v>1995</v>
      </c>
      <c r="G159" s="32" t="s">
        <v>1211</v>
      </c>
      <c r="H159" s="32"/>
      <c r="I159" s="31" t="s">
        <v>8</v>
      </c>
      <c r="J159" s="32" t="s">
        <v>267</v>
      </c>
      <c r="K159" s="32" t="s">
        <v>366</v>
      </c>
      <c r="L159" s="31" t="s">
        <v>31</v>
      </c>
      <c r="M159" s="31" t="s">
        <v>11</v>
      </c>
      <c r="N159" s="31" t="s">
        <v>75</v>
      </c>
      <c r="O159" s="31" t="s">
        <v>1212</v>
      </c>
      <c r="P159" s="31" t="s">
        <v>285</v>
      </c>
      <c r="Q159" s="31" t="s">
        <v>313</v>
      </c>
      <c r="R159" s="32" t="s">
        <v>1217</v>
      </c>
      <c r="S159" s="31" t="s">
        <v>194</v>
      </c>
      <c r="T159" s="32" t="s">
        <v>1216</v>
      </c>
      <c r="U159" s="31">
        <v>10</v>
      </c>
      <c r="V159" s="57">
        <f t="shared" si="18"/>
        <v>10</v>
      </c>
      <c r="W159" s="57" t="str">
        <f t="shared" si="24"/>
        <v>L</v>
      </c>
      <c r="X159" s="31" t="s">
        <v>772</v>
      </c>
      <c r="Y159" s="31" t="s">
        <v>388</v>
      </c>
      <c r="Z159" s="32" t="s">
        <v>1215</v>
      </c>
      <c r="AA159" s="31" t="s">
        <v>1214</v>
      </c>
      <c r="AB159" s="31">
        <v>10</v>
      </c>
      <c r="AC159" s="15">
        <f t="shared" si="19"/>
        <v>10</v>
      </c>
      <c r="AD159" s="15" t="str">
        <f t="shared" si="20"/>
        <v>L</v>
      </c>
      <c r="AE159" s="31" t="s">
        <v>131</v>
      </c>
      <c r="AF159" s="31" t="s">
        <v>388</v>
      </c>
      <c r="AG159" s="33">
        <f>46+42</f>
        <v>88</v>
      </c>
      <c r="AH159" s="33">
        <v>46</v>
      </c>
      <c r="AI159" s="33">
        <v>40</v>
      </c>
      <c r="AJ159" s="33">
        <v>34</v>
      </c>
      <c r="AK159" s="33">
        <v>6</v>
      </c>
      <c r="AL159" s="44">
        <v>40</v>
      </c>
      <c r="AM159" s="33">
        <v>34</v>
      </c>
      <c r="AN159" s="44">
        <v>6</v>
      </c>
      <c r="AO159" s="44"/>
      <c r="AP159" s="33"/>
      <c r="AQ159" s="33"/>
      <c r="AR159" s="33"/>
      <c r="AS159" s="33">
        <v>0</v>
      </c>
      <c r="AT159" s="33">
        <v>0</v>
      </c>
      <c r="AU159" s="33">
        <v>0</v>
      </c>
      <c r="AV159" s="33">
        <v>0</v>
      </c>
      <c r="AW159" s="33">
        <v>0</v>
      </c>
      <c r="AX159" s="33"/>
      <c r="AY159" s="33"/>
      <c r="AZ159" s="33"/>
      <c r="BA159" s="33">
        <v>42</v>
      </c>
      <c r="BB159" s="33">
        <v>42</v>
      </c>
      <c r="BC159" s="33">
        <v>28</v>
      </c>
      <c r="BD159" s="33">
        <v>14</v>
      </c>
      <c r="BE159" s="44">
        <v>42</v>
      </c>
      <c r="BF159" s="33">
        <v>28</v>
      </c>
      <c r="BG159" s="44">
        <v>14</v>
      </c>
      <c r="BH159" s="33"/>
      <c r="BI159" s="33"/>
      <c r="BJ159" s="33"/>
      <c r="BK159" s="33"/>
      <c r="BL159" s="33">
        <v>0</v>
      </c>
      <c r="BM159" s="33">
        <v>0</v>
      </c>
      <c r="BN159" s="33">
        <v>0</v>
      </c>
      <c r="BO159" s="33">
        <v>0</v>
      </c>
      <c r="BP159" s="33">
        <v>0</v>
      </c>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5"/>
      <c r="CO159" s="35"/>
      <c r="CP159" s="35"/>
      <c r="CQ159" s="35"/>
      <c r="CR159" s="35"/>
      <c r="CS159" s="35"/>
      <c r="CT159" s="35"/>
      <c r="CU159" s="35"/>
      <c r="CV159" s="35"/>
      <c r="CW159" s="35"/>
      <c r="CX159" s="35"/>
      <c r="CY159" s="35"/>
    </row>
    <row r="160" spans="1:103" s="36" customFormat="1" x14ac:dyDescent="0.2">
      <c r="A160" s="58">
        <v>148</v>
      </c>
      <c r="B160" s="14" t="s">
        <v>1429</v>
      </c>
      <c r="C160" s="30" t="s">
        <v>79</v>
      </c>
      <c r="D160" s="31" t="s">
        <v>271</v>
      </c>
      <c r="E160" s="31"/>
      <c r="F160" s="31">
        <v>1995</v>
      </c>
      <c r="G160" s="32" t="s">
        <v>288</v>
      </c>
      <c r="H160" s="32"/>
      <c r="I160" s="31" t="s">
        <v>8</v>
      </c>
      <c r="J160" s="32" t="s">
        <v>270</v>
      </c>
      <c r="K160" s="32" t="s">
        <v>1474</v>
      </c>
      <c r="L160" s="31" t="s">
        <v>31</v>
      </c>
      <c r="M160" s="15" t="s">
        <v>25</v>
      </c>
      <c r="N160" s="31" t="s">
        <v>75</v>
      </c>
      <c r="O160" s="31" t="s">
        <v>1162</v>
      </c>
      <c r="P160" s="31" t="s">
        <v>167</v>
      </c>
      <c r="Q160" s="31" t="s">
        <v>313</v>
      </c>
      <c r="R160" s="32" t="s">
        <v>1218</v>
      </c>
      <c r="S160" s="31" t="s">
        <v>255</v>
      </c>
      <c r="T160" s="31" t="s">
        <v>1219</v>
      </c>
      <c r="U160" s="31">
        <v>7</v>
      </c>
      <c r="V160" s="57">
        <f t="shared" si="18"/>
        <v>7</v>
      </c>
      <c r="W160" s="57" t="str">
        <f t="shared" si="24"/>
        <v>L</v>
      </c>
      <c r="X160" s="31"/>
      <c r="Y160" s="31" t="s">
        <v>388</v>
      </c>
      <c r="Z160" s="31" t="s">
        <v>194</v>
      </c>
      <c r="AA160" s="31" t="s">
        <v>1220</v>
      </c>
      <c r="AB160" s="31">
        <v>7</v>
      </c>
      <c r="AC160" s="15">
        <f t="shared" si="19"/>
        <v>7</v>
      </c>
      <c r="AD160" s="15" t="str">
        <f t="shared" si="20"/>
        <v>L</v>
      </c>
      <c r="AE160" s="31" t="s">
        <v>772</v>
      </c>
      <c r="AF160" s="31" t="s">
        <v>388</v>
      </c>
      <c r="AG160" s="33">
        <v>144</v>
      </c>
      <c r="AH160" s="33">
        <v>71</v>
      </c>
      <c r="AI160" s="33"/>
      <c r="AJ160" s="33"/>
      <c r="AK160" s="33"/>
      <c r="AL160" s="44">
        <f>71-16</f>
        <v>55</v>
      </c>
      <c r="AM160" s="33">
        <v>39</v>
      </c>
      <c r="AN160" s="44">
        <v>16</v>
      </c>
      <c r="AO160" s="44"/>
      <c r="AP160" s="33"/>
      <c r="AQ160" s="33"/>
      <c r="AR160" s="33">
        <v>4</v>
      </c>
      <c r="AS160" s="33"/>
      <c r="AT160" s="33"/>
      <c r="AU160" s="33"/>
      <c r="AV160" s="33"/>
      <c r="AW160" s="33">
        <v>1</v>
      </c>
      <c r="AX160" s="33"/>
      <c r="AY160" s="33"/>
      <c r="AZ160" s="33"/>
      <c r="BA160" s="33">
        <v>73</v>
      </c>
      <c r="BB160" s="33"/>
      <c r="BC160" s="33"/>
      <c r="BD160" s="33"/>
      <c r="BE160" s="44">
        <f>73-17</f>
        <v>56</v>
      </c>
      <c r="BF160" s="33">
        <f>+BE160-BG160</f>
        <v>40</v>
      </c>
      <c r="BG160" s="44">
        <v>16</v>
      </c>
      <c r="BH160" s="33"/>
      <c r="BI160" s="33"/>
      <c r="BJ160" s="33"/>
      <c r="BK160" s="33">
        <v>4</v>
      </c>
      <c r="BL160" s="33"/>
      <c r="BM160" s="33"/>
      <c r="BN160" s="33"/>
      <c r="BO160" s="33"/>
      <c r="BP160" s="33">
        <v>1</v>
      </c>
      <c r="BQ160" s="33"/>
      <c r="BR160" s="33"/>
      <c r="BS160" s="33"/>
      <c r="BT160" s="33">
        <f>56+55</f>
        <v>111</v>
      </c>
      <c r="BU160" s="33">
        <v>10</v>
      </c>
      <c r="BV160" s="33">
        <v>2</v>
      </c>
      <c r="BW160" s="33"/>
      <c r="BX160" s="33"/>
      <c r="BY160" s="33">
        <v>1</v>
      </c>
      <c r="BZ160" s="33"/>
      <c r="CA160" s="33"/>
      <c r="CB160" s="33"/>
      <c r="CC160" s="33"/>
      <c r="CD160" s="33"/>
      <c r="CE160" s="33"/>
      <c r="CF160" s="33"/>
      <c r="CG160" s="33"/>
      <c r="CH160" s="33"/>
      <c r="CI160" s="33"/>
      <c r="CJ160" s="33"/>
      <c r="CK160" s="33"/>
      <c r="CL160" s="33"/>
      <c r="CM160" s="33"/>
      <c r="CN160" s="35"/>
      <c r="CO160" s="35"/>
      <c r="CP160" s="35"/>
      <c r="CQ160" s="35"/>
      <c r="CR160" s="35"/>
      <c r="CS160" s="35"/>
      <c r="CT160" s="35"/>
      <c r="CU160" s="35"/>
      <c r="CV160" s="35"/>
      <c r="CW160" s="35"/>
      <c r="CX160" s="35"/>
      <c r="CY160" s="35"/>
    </row>
    <row r="161" spans="1:103" s="36" customFormat="1" x14ac:dyDescent="0.2">
      <c r="A161" s="58">
        <v>149</v>
      </c>
      <c r="B161" s="14" t="s">
        <v>1429</v>
      </c>
      <c r="C161" s="30" t="s">
        <v>79</v>
      </c>
      <c r="D161" s="31" t="s">
        <v>280</v>
      </c>
      <c r="E161" s="31"/>
      <c r="F161" s="31">
        <v>1989</v>
      </c>
      <c r="G161" s="32" t="s">
        <v>293</v>
      </c>
      <c r="H161" s="41" t="s">
        <v>1221</v>
      </c>
      <c r="I161" s="31" t="s">
        <v>8</v>
      </c>
      <c r="J161" s="32" t="s">
        <v>281</v>
      </c>
      <c r="K161" s="32" t="s">
        <v>1474</v>
      </c>
      <c r="L161" s="31" t="s">
        <v>31</v>
      </c>
      <c r="M161" s="15" t="s">
        <v>25</v>
      </c>
      <c r="N161" s="31" t="s">
        <v>75</v>
      </c>
      <c r="O161" s="31" t="s">
        <v>1222</v>
      </c>
      <c r="P161" s="31" t="s">
        <v>285</v>
      </c>
      <c r="Q161" s="31" t="s">
        <v>313</v>
      </c>
      <c r="R161" s="32" t="s">
        <v>1225</v>
      </c>
      <c r="S161" s="31" t="s">
        <v>23</v>
      </c>
      <c r="T161" s="31" t="s">
        <v>1224</v>
      </c>
      <c r="U161" s="31">
        <v>10</v>
      </c>
      <c r="V161" s="57">
        <f t="shared" si="18"/>
        <v>10</v>
      </c>
      <c r="W161" s="57" t="str">
        <f t="shared" si="24"/>
        <v>L</v>
      </c>
      <c r="X161" s="31" t="s">
        <v>131</v>
      </c>
      <c r="Y161" s="31" t="s">
        <v>388</v>
      </c>
      <c r="Z161" s="31" t="s">
        <v>531</v>
      </c>
      <c r="AA161" s="31" t="s">
        <v>1223</v>
      </c>
      <c r="AB161" s="31">
        <v>10</v>
      </c>
      <c r="AC161" s="15">
        <f t="shared" si="19"/>
        <v>10</v>
      </c>
      <c r="AD161" s="15" t="str">
        <f t="shared" si="20"/>
        <v>L</v>
      </c>
      <c r="AE161" s="31" t="s">
        <v>131</v>
      </c>
      <c r="AF161" s="31" t="s">
        <v>388</v>
      </c>
      <c r="AG161" s="33">
        <v>100</v>
      </c>
      <c r="AH161" s="33">
        <v>50</v>
      </c>
      <c r="AI161" s="33">
        <f>13+18+9+9+1</f>
        <v>50</v>
      </c>
      <c r="AJ161" s="33">
        <v>40</v>
      </c>
      <c r="AK161" s="33">
        <v>10</v>
      </c>
      <c r="AL161" s="44">
        <f>13+18+9+9+1</f>
        <v>50</v>
      </c>
      <c r="AM161" s="33">
        <v>40</v>
      </c>
      <c r="AN161" s="44">
        <v>10</v>
      </c>
      <c r="AO161" s="44"/>
      <c r="AP161" s="33"/>
      <c r="AQ161" s="33"/>
      <c r="AR161" s="33"/>
      <c r="AS161" s="33">
        <v>0</v>
      </c>
      <c r="AT161" s="33"/>
      <c r="AU161" s="33"/>
      <c r="AV161" s="33"/>
      <c r="AW161" s="33"/>
      <c r="AX161" s="33"/>
      <c r="AY161" s="33"/>
      <c r="AZ161" s="33"/>
      <c r="BA161" s="33">
        <v>50</v>
      </c>
      <c r="BB161" s="33">
        <v>50</v>
      </c>
      <c r="BC161" s="33">
        <v>49</v>
      </c>
      <c r="BD161" s="33">
        <v>1</v>
      </c>
      <c r="BE161" s="44">
        <v>50</v>
      </c>
      <c r="BF161" s="33">
        <v>49</v>
      </c>
      <c r="BG161" s="44">
        <v>1</v>
      </c>
      <c r="BH161" s="33"/>
      <c r="BI161" s="33"/>
      <c r="BJ161" s="33"/>
      <c r="BK161" s="33"/>
      <c r="BL161" s="33">
        <v>2</v>
      </c>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5"/>
      <c r="CO161" s="35"/>
      <c r="CP161" s="35"/>
      <c r="CQ161" s="35"/>
      <c r="CR161" s="35"/>
      <c r="CS161" s="35"/>
      <c r="CT161" s="35"/>
      <c r="CU161" s="35"/>
      <c r="CV161" s="35"/>
      <c r="CW161" s="35"/>
      <c r="CX161" s="35"/>
      <c r="CY161" s="35"/>
    </row>
    <row r="162" spans="1:103" s="36" customFormat="1" x14ac:dyDescent="0.2">
      <c r="A162" s="58">
        <v>150</v>
      </c>
      <c r="B162" s="14" t="s">
        <v>1429</v>
      </c>
      <c r="C162" s="30" t="s">
        <v>79</v>
      </c>
      <c r="D162" s="31" t="s">
        <v>274</v>
      </c>
      <c r="E162" s="31"/>
      <c r="F162" s="31">
        <v>1997</v>
      </c>
      <c r="G162" s="32" t="s">
        <v>289</v>
      </c>
      <c r="H162" s="32"/>
      <c r="I162" s="31" t="s">
        <v>8</v>
      </c>
      <c r="J162" s="32" t="s">
        <v>273</v>
      </c>
      <c r="K162" s="32" t="s">
        <v>366</v>
      </c>
      <c r="L162" s="31" t="s">
        <v>31</v>
      </c>
      <c r="M162" s="31"/>
      <c r="N162" s="31" t="s">
        <v>75</v>
      </c>
      <c r="O162" s="31" t="s">
        <v>1227</v>
      </c>
      <c r="P162" s="31" t="s">
        <v>167</v>
      </c>
      <c r="Q162" s="31" t="s">
        <v>313</v>
      </c>
      <c r="R162" s="32" t="s">
        <v>1226</v>
      </c>
      <c r="S162" s="31" t="s">
        <v>272</v>
      </c>
      <c r="T162" s="31"/>
      <c r="U162" s="31">
        <v>10</v>
      </c>
      <c r="V162" s="57">
        <f t="shared" si="18"/>
        <v>10</v>
      </c>
      <c r="W162" s="57" t="str">
        <f t="shared" si="24"/>
        <v>L</v>
      </c>
      <c r="X162" s="15" t="s">
        <v>511</v>
      </c>
      <c r="Y162" s="31" t="s">
        <v>14</v>
      </c>
      <c r="Z162" s="31" t="s">
        <v>21</v>
      </c>
      <c r="AA162" s="31"/>
      <c r="AB162" s="31">
        <v>10</v>
      </c>
      <c r="AC162" s="15">
        <f t="shared" si="19"/>
        <v>10</v>
      </c>
      <c r="AD162" s="15" t="str">
        <f t="shared" si="20"/>
        <v>L</v>
      </c>
      <c r="AE162" s="15" t="s">
        <v>511</v>
      </c>
      <c r="AF162" s="15" t="s">
        <v>14</v>
      </c>
      <c r="AG162" s="33">
        <f>71+69</f>
        <v>140</v>
      </c>
      <c r="AH162" s="33">
        <v>71</v>
      </c>
      <c r="AI162" s="33">
        <v>71</v>
      </c>
      <c r="AJ162" s="33">
        <v>59</v>
      </c>
      <c r="AK162" s="33">
        <v>12</v>
      </c>
      <c r="AL162" s="44">
        <v>71</v>
      </c>
      <c r="AM162" s="33">
        <v>59</v>
      </c>
      <c r="AN162" s="44">
        <v>12</v>
      </c>
      <c r="AO162" s="44">
        <v>62</v>
      </c>
      <c r="AP162" s="33">
        <v>22</v>
      </c>
      <c r="AQ162" s="33">
        <f>+AO162-AP162</f>
        <v>40</v>
      </c>
      <c r="AR162" s="33"/>
      <c r="AS162" s="33">
        <v>4</v>
      </c>
      <c r="AT162" s="33"/>
      <c r="AU162" s="33"/>
      <c r="AV162" s="33"/>
      <c r="AW162" s="33"/>
      <c r="AX162" s="33"/>
      <c r="AY162" s="33"/>
      <c r="AZ162" s="33"/>
      <c r="BA162" s="33">
        <v>69</v>
      </c>
      <c r="BB162" s="33">
        <v>69</v>
      </c>
      <c r="BC162" s="33">
        <v>67</v>
      </c>
      <c r="BD162" s="33">
        <v>2</v>
      </c>
      <c r="BE162" s="44">
        <v>69</v>
      </c>
      <c r="BF162" s="33">
        <v>67</v>
      </c>
      <c r="BG162" s="44">
        <v>2</v>
      </c>
      <c r="BH162" s="33">
        <v>44</v>
      </c>
      <c r="BI162" s="33">
        <v>14</v>
      </c>
      <c r="BJ162" s="33">
        <f>+BH162-BI162</f>
        <v>30</v>
      </c>
      <c r="BK162" s="33"/>
      <c r="BL162" s="33">
        <v>2</v>
      </c>
      <c r="BM162" s="33"/>
      <c r="BN162" s="33"/>
      <c r="BO162" s="33"/>
      <c r="BP162" s="33"/>
      <c r="BQ162" s="33"/>
      <c r="BR162" s="33"/>
      <c r="BS162" s="33"/>
      <c r="BT162" s="33">
        <f>53+30</f>
        <v>83</v>
      </c>
      <c r="BU162" s="33">
        <f>17+7</f>
        <v>24</v>
      </c>
      <c r="BV162" s="33">
        <v>21</v>
      </c>
      <c r="BW162" s="33"/>
      <c r="BX162" s="33"/>
      <c r="BY162" s="33">
        <v>11</v>
      </c>
      <c r="BZ162" s="33">
        <v>4</v>
      </c>
      <c r="CA162" s="33"/>
      <c r="CB162" s="33"/>
      <c r="CC162" s="33"/>
      <c r="CD162" s="33"/>
      <c r="CE162" s="33"/>
      <c r="CF162" s="33"/>
      <c r="CG162" s="33"/>
      <c r="CH162" s="33"/>
      <c r="CI162" s="33"/>
      <c r="CJ162" s="33"/>
      <c r="CK162" s="33"/>
      <c r="CL162" s="33"/>
      <c r="CM162" s="33"/>
      <c r="CN162" s="35"/>
      <c r="CO162" s="35"/>
      <c r="CP162" s="35"/>
      <c r="CQ162" s="35"/>
      <c r="CR162" s="35"/>
      <c r="CS162" s="35"/>
      <c r="CT162" s="35"/>
      <c r="CU162" s="35"/>
      <c r="CV162" s="35"/>
      <c r="CW162" s="35"/>
      <c r="CX162" s="35"/>
      <c r="CY162" s="35"/>
    </row>
    <row r="163" spans="1:103" s="19" customFormat="1" x14ac:dyDescent="0.2">
      <c r="A163" s="58">
        <v>151</v>
      </c>
      <c r="B163" s="14" t="s">
        <v>1429</v>
      </c>
      <c r="C163" s="14" t="s">
        <v>79</v>
      </c>
      <c r="D163" s="15" t="s">
        <v>322</v>
      </c>
      <c r="E163" s="15"/>
      <c r="F163" s="15">
        <v>2015</v>
      </c>
      <c r="G163" s="16" t="s">
        <v>1229</v>
      </c>
      <c r="H163" s="16"/>
      <c r="I163" s="15" t="s">
        <v>8</v>
      </c>
      <c r="J163" s="16" t="s">
        <v>323</v>
      </c>
      <c r="K163" s="16" t="s">
        <v>1474</v>
      </c>
      <c r="L163" s="15" t="s">
        <v>31</v>
      </c>
      <c r="M163" s="15" t="s">
        <v>25</v>
      </c>
      <c r="N163" s="15" t="s">
        <v>75</v>
      </c>
      <c r="O163" s="15" t="s">
        <v>890</v>
      </c>
      <c r="P163" s="15" t="s">
        <v>167</v>
      </c>
      <c r="Q163" s="15" t="s">
        <v>313</v>
      </c>
      <c r="R163" s="16" t="s">
        <v>1232</v>
      </c>
      <c r="S163" s="15" t="s">
        <v>23</v>
      </c>
      <c r="T163" s="15" t="s">
        <v>1231</v>
      </c>
      <c r="U163" s="15">
        <v>2</v>
      </c>
      <c r="V163" s="57">
        <v>3</v>
      </c>
      <c r="W163" s="57" t="str">
        <f t="shared" si="24"/>
        <v>S</v>
      </c>
      <c r="X163" s="15" t="s">
        <v>131</v>
      </c>
      <c r="Y163" s="15" t="s">
        <v>388</v>
      </c>
      <c r="Z163" s="15" t="s">
        <v>256</v>
      </c>
      <c r="AA163" s="15" t="s">
        <v>1230</v>
      </c>
      <c r="AB163" s="15">
        <v>2</v>
      </c>
      <c r="AC163" s="15">
        <v>3</v>
      </c>
      <c r="AD163" s="15" t="str">
        <f t="shared" si="20"/>
        <v>S</v>
      </c>
      <c r="AE163" s="15" t="s">
        <v>131</v>
      </c>
      <c r="AF163" s="15" t="s">
        <v>388</v>
      </c>
      <c r="AG163" s="17">
        <f>263+263</f>
        <v>526</v>
      </c>
      <c r="AH163" s="17">
        <v>263</v>
      </c>
      <c r="AI163" s="17">
        <v>263</v>
      </c>
      <c r="AJ163" s="17">
        <v>243</v>
      </c>
      <c r="AK163" s="17">
        <v>20</v>
      </c>
      <c r="AL163" s="47">
        <v>260</v>
      </c>
      <c r="AM163" s="17">
        <v>240</v>
      </c>
      <c r="AN163" s="47">
        <v>20</v>
      </c>
      <c r="AO163" s="47"/>
      <c r="AP163" s="17"/>
      <c r="AQ163" s="17"/>
      <c r="AR163" s="17"/>
      <c r="AS163" s="17"/>
      <c r="AT163" s="17"/>
      <c r="AU163" s="17"/>
      <c r="AV163" s="17"/>
      <c r="AW163" s="17">
        <v>1</v>
      </c>
      <c r="AX163" s="17"/>
      <c r="AY163" s="17"/>
      <c r="AZ163" s="17"/>
      <c r="BA163" s="17">
        <v>263</v>
      </c>
      <c r="BB163" s="17">
        <v>263</v>
      </c>
      <c r="BC163" s="17">
        <v>242</v>
      </c>
      <c r="BD163" s="17">
        <v>21</v>
      </c>
      <c r="BE163" s="47">
        <v>261</v>
      </c>
      <c r="BF163" s="17">
        <v>240</v>
      </c>
      <c r="BG163" s="47">
        <v>21</v>
      </c>
      <c r="BH163" s="17"/>
      <c r="BI163" s="17"/>
      <c r="BJ163" s="17"/>
      <c r="BK163" s="17"/>
      <c r="BL163" s="17"/>
      <c r="BM163" s="17"/>
      <c r="BN163" s="17"/>
      <c r="BO163" s="17"/>
      <c r="BP163" s="17">
        <v>3</v>
      </c>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8"/>
      <c r="CO163" s="18"/>
      <c r="CP163" s="18"/>
      <c r="CQ163" s="18"/>
      <c r="CR163" s="18"/>
      <c r="CS163" s="18"/>
      <c r="CT163" s="18"/>
      <c r="CU163" s="18"/>
      <c r="CV163" s="18"/>
      <c r="CW163" s="18"/>
      <c r="CX163" s="18"/>
      <c r="CY163" s="18"/>
    </row>
    <row r="164" spans="1:103" s="36" customFormat="1" x14ac:dyDescent="0.2">
      <c r="A164" s="58">
        <v>152</v>
      </c>
      <c r="B164" s="14" t="s">
        <v>1429</v>
      </c>
      <c r="C164" s="30" t="s">
        <v>79</v>
      </c>
      <c r="D164" s="31" t="s">
        <v>1235</v>
      </c>
      <c r="E164" s="31"/>
      <c r="F164" s="31">
        <v>1991</v>
      </c>
      <c r="G164" s="32" t="s">
        <v>1239</v>
      </c>
      <c r="H164" s="32"/>
      <c r="I164" s="31" t="s">
        <v>8</v>
      </c>
      <c r="J164" s="32" t="s">
        <v>1251</v>
      </c>
      <c r="K164" s="32" t="s">
        <v>366</v>
      </c>
      <c r="L164" s="31" t="s">
        <v>31</v>
      </c>
      <c r="M164" s="15" t="s">
        <v>25</v>
      </c>
      <c r="N164" s="31" t="s">
        <v>201</v>
      </c>
      <c r="O164" s="31" t="s">
        <v>404</v>
      </c>
      <c r="P164" s="31" t="s">
        <v>285</v>
      </c>
      <c r="Q164" s="31" t="s">
        <v>313</v>
      </c>
      <c r="R164" s="32" t="s">
        <v>1252</v>
      </c>
      <c r="S164" s="31" t="s">
        <v>207</v>
      </c>
      <c r="T164" s="31" t="s">
        <v>1246</v>
      </c>
      <c r="U164" s="31" t="s">
        <v>709</v>
      </c>
      <c r="V164" s="57">
        <v>10</v>
      </c>
      <c r="W164" s="57" t="str">
        <f t="shared" si="24"/>
        <v>L</v>
      </c>
      <c r="X164" s="31" t="s">
        <v>13</v>
      </c>
      <c r="Y164" s="31" t="s">
        <v>14</v>
      </c>
      <c r="Z164" s="31" t="s">
        <v>1247</v>
      </c>
      <c r="AA164" s="31" t="s">
        <v>731</v>
      </c>
      <c r="AB164" s="31" t="s">
        <v>709</v>
      </c>
      <c r="AC164" s="15">
        <v>7</v>
      </c>
      <c r="AD164" s="15" t="str">
        <f t="shared" si="20"/>
        <v>L</v>
      </c>
      <c r="AE164" s="31" t="s">
        <v>511</v>
      </c>
      <c r="AF164" s="31" t="s">
        <v>14</v>
      </c>
      <c r="AG164" s="33">
        <v>100</v>
      </c>
      <c r="AH164" s="33">
        <v>49</v>
      </c>
      <c r="AI164" s="33"/>
      <c r="AJ164" s="33"/>
      <c r="AK164" s="33"/>
      <c r="AL164" s="44">
        <v>38</v>
      </c>
      <c r="AM164" s="33">
        <v>36</v>
      </c>
      <c r="AN164" s="44">
        <v>2</v>
      </c>
      <c r="AO164" s="44"/>
      <c r="AP164" s="33"/>
      <c r="AQ164" s="33"/>
      <c r="AR164" s="33"/>
      <c r="AS164" s="33">
        <v>9</v>
      </c>
      <c r="AT164" s="33"/>
      <c r="AU164" s="33"/>
      <c r="AV164" s="33"/>
      <c r="AW164" s="33">
        <v>0</v>
      </c>
      <c r="AX164" s="33"/>
      <c r="AY164" s="33"/>
      <c r="AZ164" s="33"/>
      <c r="BA164" s="33">
        <v>51</v>
      </c>
      <c r="BB164" s="33"/>
      <c r="BC164" s="33"/>
      <c r="BD164" s="33"/>
      <c r="BE164" s="44">
        <v>37</v>
      </c>
      <c r="BF164" s="33">
        <v>34</v>
      </c>
      <c r="BG164" s="44">
        <v>3</v>
      </c>
      <c r="BH164" s="33"/>
      <c r="BI164" s="33"/>
      <c r="BJ164" s="33"/>
      <c r="BK164" s="33"/>
      <c r="BL164" s="44">
        <v>14</v>
      </c>
      <c r="BM164" s="33"/>
      <c r="BN164" s="33"/>
      <c r="BO164" s="33"/>
      <c r="BP164" s="33">
        <v>3</v>
      </c>
      <c r="BQ164" s="33"/>
      <c r="BR164" s="33"/>
      <c r="BS164" s="33"/>
      <c r="BT164" s="33">
        <f>32+33</f>
        <v>65</v>
      </c>
      <c r="BU164" s="33">
        <f>4+8</f>
        <v>12</v>
      </c>
      <c r="BV164" s="33">
        <v>14</v>
      </c>
      <c r="BW164" s="33"/>
      <c r="BX164" s="33">
        <v>5</v>
      </c>
      <c r="BY164" s="33">
        <v>6</v>
      </c>
      <c r="BZ164" s="33"/>
      <c r="CA164" s="33"/>
      <c r="CB164" s="33"/>
      <c r="CC164" s="33"/>
      <c r="CD164" s="33"/>
      <c r="CE164" s="33"/>
      <c r="CF164" s="33"/>
      <c r="CG164" s="33"/>
      <c r="CH164" s="33"/>
      <c r="CI164" s="33"/>
      <c r="CJ164" s="33"/>
      <c r="CK164" s="33"/>
      <c r="CL164" s="33"/>
      <c r="CM164" s="33"/>
      <c r="CN164" s="35"/>
      <c r="CO164" s="35"/>
      <c r="CP164" s="35"/>
      <c r="CQ164" s="35"/>
      <c r="CR164" s="35"/>
      <c r="CS164" s="35"/>
      <c r="CT164" s="35"/>
      <c r="CU164" s="35"/>
      <c r="CV164" s="35"/>
      <c r="CW164" s="35"/>
      <c r="CX164" s="35"/>
      <c r="CY164" s="35"/>
    </row>
    <row r="165" spans="1:103" s="36" customFormat="1" x14ac:dyDescent="0.2">
      <c r="A165" s="58">
        <v>153</v>
      </c>
      <c r="B165" s="14" t="s">
        <v>1429</v>
      </c>
      <c r="C165" s="30" t="s">
        <v>79</v>
      </c>
      <c r="D165" s="31" t="s">
        <v>1234</v>
      </c>
      <c r="E165" s="31"/>
      <c r="F165" s="31">
        <v>1990</v>
      </c>
      <c r="G165" s="32" t="s">
        <v>1236</v>
      </c>
      <c r="H165" s="32"/>
      <c r="I165" s="31" t="s">
        <v>8</v>
      </c>
      <c r="J165" s="31" t="s">
        <v>66</v>
      </c>
      <c r="K165" s="31" t="s">
        <v>366</v>
      </c>
      <c r="L165" s="31" t="s">
        <v>31</v>
      </c>
      <c r="M165" s="15" t="s">
        <v>25</v>
      </c>
      <c r="N165" s="31" t="s">
        <v>201</v>
      </c>
      <c r="O165" s="31" t="s">
        <v>1244</v>
      </c>
      <c r="P165" s="31" t="s">
        <v>285</v>
      </c>
      <c r="Q165" s="31" t="s">
        <v>313</v>
      </c>
      <c r="R165" s="32"/>
      <c r="S165" s="31" t="s">
        <v>142</v>
      </c>
      <c r="T165" s="31" t="s">
        <v>1126</v>
      </c>
      <c r="U165" s="31">
        <v>10</v>
      </c>
      <c r="V165" s="57">
        <f t="shared" si="18"/>
        <v>10</v>
      </c>
      <c r="W165" s="57" t="str">
        <f t="shared" si="24"/>
        <v>L</v>
      </c>
      <c r="X165" s="31" t="s">
        <v>511</v>
      </c>
      <c r="Y165" s="31" t="s">
        <v>14</v>
      </c>
      <c r="Z165" s="31" t="s">
        <v>152</v>
      </c>
      <c r="AA165" s="31" t="s">
        <v>1248</v>
      </c>
      <c r="AB165" s="31">
        <v>10</v>
      </c>
      <c r="AC165" s="15">
        <f t="shared" si="19"/>
        <v>10</v>
      </c>
      <c r="AD165" s="15" t="str">
        <f t="shared" si="20"/>
        <v>L</v>
      </c>
      <c r="AE165" s="31" t="s">
        <v>511</v>
      </c>
      <c r="AF165" s="31" t="s">
        <v>14</v>
      </c>
      <c r="AG165" s="33">
        <v>96</v>
      </c>
      <c r="AH165" s="33">
        <v>49</v>
      </c>
      <c r="AI165" s="33"/>
      <c r="AJ165" s="33"/>
      <c r="AK165" s="33"/>
      <c r="AL165" s="44">
        <v>44</v>
      </c>
      <c r="AM165" s="33">
        <v>43</v>
      </c>
      <c r="AN165" s="44">
        <v>1</v>
      </c>
      <c r="AO165" s="44"/>
      <c r="AP165" s="33"/>
      <c r="AQ165" s="33"/>
      <c r="AR165" s="33"/>
      <c r="AS165" s="33">
        <v>6</v>
      </c>
      <c r="AT165" s="33"/>
      <c r="AU165" s="33"/>
      <c r="AV165" s="33"/>
      <c r="AW165" s="33">
        <v>3</v>
      </c>
      <c r="AX165" s="33"/>
      <c r="AY165" s="33"/>
      <c r="AZ165" s="33"/>
      <c r="BA165" s="33">
        <v>47</v>
      </c>
      <c r="BB165" s="33"/>
      <c r="BC165" s="33"/>
      <c r="BD165" s="33"/>
      <c r="BE165" s="44">
        <v>41</v>
      </c>
      <c r="BF165" s="33">
        <v>39</v>
      </c>
      <c r="BG165" s="44">
        <v>2</v>
      </c>
      <c r="BH165" s="33"/>
      <c r="BI165" s="33"/>
      <c r="BJ165" s="33"/>
      <c r="BK165" s="33"/>
      <c r="BL165" s="33">
        <v>6</v>
      </c>
      <c r="BM165" s="33"/>
      <c r="BN165" s="33"/>
      <c r="BO165" s="33"/>
      <c r="BP165" s="33">
        <v>3</v>
      </c>
      <c r="BQ165" s="33"/>
      <c r="BR165" s="33"/>
      <c r="BS165" s="33"/>
      <c r="BT165" s="33">
        <v>73</v>
      </c>
      <c r="BU165" s="33">
        <v>34</v>
      </c>
      <c r="BV165" s="33">
        <v>28</v>
      </c>
      <c r="BW165" s="33">
        <v>1</v>
      </c>
      <c r="BX165" s="33"/>
      <c r="BY165" s="33"/>
      <c r="BZ165" s="33"/>
      <c r="CA165" s="33"/>
      <c r="CB165" s="33"/>
      <c r="CC165" s="33"/>
      <c r="CD165" s="33"/>
      <c r="CE165" s="33"/>
      <c r="CF165" s="33"/>
      <c r="CG165" s="33"/>
      <c r="CH165" s="33"/>
      <c r="CI165" s="33"/>
      <c r="CJ165" s="33"/>
      <c r="CK165" s="33"/>
      <c r="CL165" s="33"/>
      <c r="CM165" s="33"/>
      <c r="CN165" s="35"/>
      <c r="CO165" s="35"/>
      <c r="CP165" s="35"/>
      <c r="CQ165" s="35"/>
      <c r="CR165" s="35"/>
      <c r="CS165" s="35"/>
      <c r="CT165" s="35"/>
      <c r="CU165" s="35"/>
      <c r="CV165" s="35"/>
      <c r="CW165" s="35"/>
      <c r="CX165" s="35"/>
      <c r="CY165" s="35"/>
    </row>
    <row r="166" spans="1:103" s="36" customFormat="1" x14ac:dyDescent="0.2">
      <c r="A166" s="58">
        <v>154</v>
      </c>
      <c r="B166" s="30" t="s">
        <v>1429</v>
      </c>
      <c r="C166" s="30" t="s">
        <v>79</v>
      </c>
      <c r="D166" s="31" t="s">
        <v>1237</v>
      </c>
      <c r="E166" s="31"/>
      <c r="F166" s="31">
        <v>1995</v>
      </c>
      <c r="G166" s="32" t="s">
        <v>1238</v>
      </c>
      <c r="H166" s="32"/>
      <c r="I166" s="31" t="s">
        <v>8</v>
      </c>
      <c r="J166" s="32" t="s">
        <v>1255</v>
      </c>
      <c r="K166" s="32" t="s">
        <v>366</v>
      </c>
      <c r="L166" s="31" t="s">
        <v>31</v>
      </c>
      <c r="M166" s="15" t="s">
        <v>25</v>
      </c>
      <c r="N166" s="31" t="s">
        <v>201</v>
      </c>
      <c r="O166" s="54" t="s">
        <v>459</v>
      </c>
      <c r="P166" s="31" t="s">
        <v>285</v>
      </c>
      <c r="Q166" s="31" t="s">
        <v>313</v>
      </c>
      <c r="R166" s="32" t="s">
        <v>1257</v>
      </c>
      <c r="S166" s="31" t="s">
        <v>531</v>
      </c>
      <c r="T166" s="31" t="s">
        <v>1253</v>
      </c>
      <c r="U166" s="31">
        <v>7</v>
      </c>
      <c r="V166" s="57">
        <f t="shared" si="18"/>
        <v>7</v>
      </c>
      <c r="W166" s="57" t="str">
        <f t="shared" si="24"/>
        <v>L</v>
      </c>
      <c r="X166" s="31" t="s">
        <v>131</v>
      </c>
      <c r="Y166" s="31" t="s">
        <v>388</v>
      </c>
      <c r="Z166" s="31" t="s">
        <v>531</v>
      </c>
      <c r="AA166" s="32" t="s">
        <v>1254</v>
      </c>
      <c r="AB166" s="31">
        <v>7</v>
      </c>
      <c r="AC166" s="15">
        <f t="shared" si="19"/>
        <v>7</v>
      </c>
      <c r="AD166" s="15" t="str">
        <f t="shared" si="20"/>
        <v>L</v>
      </c>
      <c r="AE166" s="31" t="s">
        <v>131</v>
      </c>
      <c r="AF166" s="31" t="s">
        <v>388</v>
      </c>
      <c r="AG166" s="33">
        <f>181+181</f>
        <v>362</v>
      </c>
      <c r="AH166" s="33">
        <v>181</v>
      </c>
      <c r="AI166" s="33">
        <v>181</v>
      </c>
      <c r="AJ166" s="33">
        <f>+AI166-AK166</f>
        <v>158</v>
      </c>
      <c r="AK166" s="33">
        <f>14+9</f>
        <v>23</v>
      </c>
      <c r="AL166" s="44">
        <v>181</v>
      </c>
      <c r="AM166" s="33">
        <f>+AL166-AN166</f>
        <v>158</v>
      </c>
      <c r="AN166" s="44">
        <f>14+9</f>
        <v>23</v>
      </c>
      <c r="AO166" s="44"/>
      <c r="AP166" s="33"/>
      <c r="AQ166" s="33"/>
      <c r="AR166" s="33"/>
      <c r="AS166" s="33"/>
      <c r="AT166" s="33"/>
      <c r="AU166" s="33"/>
      <c r="AV166" s="33"/>
      <c r="AW166" s="33">
        <v>9</v>
      </c>
      <c r="AX166" s="33"/>
      <c r="AY166" s="33"/>
      <c r="AZ166" s="33"/>
      <c r="BA166" s="33">
        <v>181</v>
      </c>
      <c r="BB166" s="33">
        <v>181</v>
      </c>
      <c r="BC166" s="33">
        <f>+BB166-BD166</f>
        <v>150</v>
      </c>
      <c r="BD166" s="33">
        <v>31</v>
      </c>
      <c r="BE166" s="44">
        <v>181</v>
      </c>
      <c r="BF166" s="33">
        <f>+BE166-BG166</f>
        <v>150</v>
      </c>
      <c r="BG166" s="44">
        <f>18+13</f>
        <v>31</v>
      </c>
      <c r="BH166" s="33"/>
      <c r="BI166" s="33"/>
      <c r="BJ166" s="33"/>
      <c r="BK166" s="33"/>
      <c r="BL166" s="33"/>
      <c r="BM166" s="33"/>
      <c r="BN166" s="33"/>
      <c r="BO166" s="33"/>
      <c r="BP166" s="33">
        <v>13</v>
      </c>
      <c r="BQ166" s="33">
        <v>7</v>
      </c>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5"/>
      <c r="CO166" s="35"/>
      <c r="CP166" s="35"/>
      <c r="CQ166" s="35"/>
      <c r="CR166" s="35"/>
      <c r="CS166" s="35"/>
      <c r="CT166" s="35"/>
      <c r="CU166" s="35"/>
      <c r="CV166" s="35"/>
      <c r="CW166" s="35"/>
      <c r="CX166" s="35"/>
      <c r="CY166" s="35"/>
    </row>
    <row r="167" spans="1:103" s="36" customFormat="1" x14ac:dyDescent="0.2">
      <c r="A167" s="58">
        <v>154</v>
      </c>
      <c r="B167" s="30" t="s">
        <v>1430</v>
      </c>
      <c r="C167" s="30" t="s">
        <v>79</v>
      </c>
      <c r="D167" s="31" t="s">
        <v>1237</v>
      </c>
      <c r="E167" s="31"/>
      <c r="F167" s="31">
        <v>1995</v>
      </c>
      <c r="G167" s="32" t="s">
        <v>1238</v>
      </c>
      <c r="H167" s="32"/>
      <c r="I167" s="31" t="s">
        <v>8</v>
      </c>
      <c r="J167" s="32" t="s">
        <v>1255</v>
      </c>
      <c r="K167" s="32" t="s">
        <v>366</v>
      </c>
      <c r="L167" s="31" t="s">
        <v>31</v>
      </c>
      <c r="M167" s="15" t="s">
        <v>25</v>
      </c>
      <c r="N167" s="31" t="s">
        <v>201</v>
      </c>
      <c r="O167" s="54" t="s">
        <v>459</v>
      </c>
      <c r="P167" s="31" t="s">
        <v>285</v>
      </c>
      <c r="Q167" s="31" t="s">
        <v>313</v>
      </c>
      <c r="R167" s="32" t="s">
        <v>1257</v>
      </c>
      <c r="S167" s="31" t="s">
        <v>531</v>
      </c>
      <c r="T167" s="31" t="s">
        <v>1253</v>
      </c>
      <c r="U167" s="31">
        <v>7</v>
      </c>
      <c r="V167" s="57">
        <f t="shared" si="18"/>
        <v>7</v>
      </c>
      <c r="W167" s="57" t="str">
        <f t="shared" si="24"/>
        <v>L</v>
      </c>
      <c r="X167" s="31" t="s">
        <v>131</v>
      </c>
      <c r="Y167" s="31" t="s">
        <v>388</v>
      </c>
      <c r="Z167" s="31" t="s">
        <v>1247</v>
      </c>
      <c r="AA167" s="32" t="s">
        <v>1256</v>
      </c>
      <c r="AB167" s="31">
        <v>7</v>
      </c>
      <c r="AC167" s="15">
        <f t="shared" si="19"/>
        <v>7</v>
      </c>
      <c r="AD167" s="15" t="str">
        <f t="shared" si="20"/>
        <v>L</v>
      </c>
      <c r="AE167" s="31" t="s">
        <v>511</v>
      </c>
      <c r="AF167" s="31" t="s">
        <v>14</v>
      </c>
      <c r="AG167" s="33">
        <f>181+179</f>
        <v>360</v>
      </c>
      <c r="AH167" s="33">
        <v>181</v>
      </c>
      <c r="AI167" s="33">
        <v>181</v>
      </c>
      <c r="AJ167" s="33">
        <f>+AI167-AK167</f>
        <v>158</v>
      </c>
      <c r="AK167" s="33">
        <f>14+9</f>
        <v>23</v>
      </c>
      <c r="AL167" s="44">
        <v>181</v>
      </c>
      <c r="AM167" s="33">
        <f>+AL167-AN167</f>
        <v>158</v>
      </c>
      <c r="AN167" s="44">
        <f>14+9</f>
        <v>23</v>
      </c>
      <c r="AO167" s="44"/>
      <c r="AP167" s="33"/>
      <c r="AQ167" s="33"/>
      <c r="AR167" s="33"/>
      <c r="AS167" s="33"/>
      <c r="AT167" s="33"/>
      <c r="AU167" s="33"/>
      <c r="AV167" s="33"/>
      <c r="AW167" s="33">
        <v>9</v>
      </c>
      <c r="AX167" s="33"/>
      <c r="AY167" s="33"/>
      <c r="AZ167" s="33"/>
      <c r="BA167" s="33">
        <v>179</v>
      </c>
      <c r="BB167" s="33">
        <v>179</v>
      </c>
      <c r="BC167" s="33">
        <f>+BB167-BD167</f>
        <v>152</v>
      </c>
      <c r="BD167" s="33">
        <v>27</v>
      </c>
      <c r="BE167" s="44">
        <v>179</v>
      </c>
      <c r="BF167" s="33">
        <f>+BE167-BG167</f>
        <v>152</v>
      </c>
      <c r="BG167" s="44">
        <f>16+11</f>
        <v>27</v>
      </c>
      <c r="BH167" s="33"/>
      <c r="BI167" s="33"/>
      <c r="BJ167" s="33"/>
      <c r="BK167" s="33"/>
      <c r="BL167" s="33"/>
      <c r="BM167" s="33"/>
      <c r="BN167" s="33"/>
      <c r="BO167" s="33"/>
      <c r="BP167" s="33">
        <v>11</v>
      </c>
      <c r="BQ167" s="33">
        <v>9</v>
      </c>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5"/>
      <c r="CO167" s="35"/>
      <c r="CP167" s="35"/>
      <c r="CQ167" s="35"/>
      <c r="CR167" s="35"/>
      <c r="CS167" s="35"/>
      <c r="CT167" s="35"/>
      <c r="CU167" s="35"/>
      <c r="CV167" s="35"/>
      <c r="CW167" s="35"/>
      <c r="CX167" s="35"/>
      <c r="CY167" s="35"/>
    </row>
    <row r="168" spans="1:103" s="36" customFormat="1" x14ac:dyDescent="0.2">
      <c r="A168" s="58">
        <v>155</v>
      </c>
      <c r="B168" s="14" t="s">
        <v>1429</v>
      </c>
      <c r="C168" s="30" t="s">
        <v>79</v>
      </c>
      <c r="D168" s="31" t="s">
        <v>1249</v>
      </c>
      <c r="E168" s="31"/>
      <c r="F168" s="31">
        <v>1987</v>
      </c>
      <c r="G168" s="32" t="s">
        <v>1240</v>
      </c>
      <c r="H168" s="32"/>
      <c r="I168" s="31" t="s">
        <v>8</v>
      </c>
      <c r="J168" s="31" t="s">
        <v>1260</v>
      </c>
      <c r="K168" s="31" t="s">
        <v>366</v>
      </c>
      <c r="L168" s="31" t="s">
        <v>31</v>
      </c>
      <c r="M168" s="15" t="s">
        <v>25</v>
      </c>
      <c r="N168" s="31" t="s">
        <v>201</v>
      </c>
      <c r="O168" s="31" t="s">
        <v>404</v>
      </c>
      <c r="P168" s="31" t="s">
        <v>285</v>
      </c>
      <c r="Q168" s="31" t="s">
        <v>313</v>
      </c>
      <c r="R168" s="32" t="s">
        <v>116</v>
      </c>
      <c r="S168" s="31" t="s">
        <v>1250</v>
      </c>
      <c r="T168" s="31" t="s">
        <v>1259</v>
      </c>
      <c r="U168" s="31">
        <v>10</v>
      </c>
      <c r="V168" s="57">
        <f t="shared" si="18"/>
        <v>10</v>
      </c>
      <c r="W168" s="57" t="str">
        <f t="shared" si="24"/>
        <v>L</v>
      </c>
      <c r="X168" s="31" t="s">
        <v>131</v>
      </c>
      <c r="Y168" s="31" t="s">
        <v>388</v>
      </c>
      <c r="Z168" s="31" t="s">
        <v>256</v>
      </c>
      <c r="AA168" s="31" t="s">
        <v>1258</v>
      </c>
      <c r="AB168" s="31">
        <v>10</v>
      </c>
      <c r="AC168" s="15">
        <f t="shared" si="19"/>
        <v>10</v>
      </c>
      <c r="AD168" s="15" t="str">
        <f t="shared" si="20"/>
        <v>L</v>
      </c>
      <c r="AE168" s="31" t="s">
        <v>131</v>
      </c>
      <c r="AF168" s="31" t="s">
        <v>388</v>
      </c>
      <c r="AG168" s="33">
        <f>33+36</f>
        <v>69</v>
      </c>
      <c r="AH168" s="33">
        <v>33</v>
      </c>
      <c r="AI168" s="33"/>
      <c r="AJ168" s="33"/>
      <c r="AK168" s="33"/>
      <c r="AL168" s="44">
        <v>24</v>
      </c>
      <c r="AM168" s="33">
        <v>24</v>
      </c>
      <c r="AN168" s="44">
        <v>0</v>
      </c>
      <c r="AO168" s="44"/>
      <c r="AP168" s="33"/>
      <c r="AQ168" s="33"/>
      <c r="AR168" s="33"/>
      <c r="AS168" s="33"/>
      <c r="AT168" s="33"/>
      <c r="AU168" s="33"/>
      <c r="AV168" s="33"/>
      <c r="AW168" s="33">
        <v>0</v>
      </c>
      <c r="AX168" s="33">
        <v>5.4</v>
      </c>
      <c r="AY168" s="33"/>
      <c r="AZ168" s="33"/>
      <c r="BA168" s="33">
        <v>36</v>
      </c>
      <c r="BB168" s="33"/>
      <c r="BC168" s="33"/>
      <c r="BD168" s="33"/>
      <c r="BE168" s="44">
        <v>26</v>
      </c>
      <c r="BF168" s="33">
        <v>24</v>
      </c>
      <c r="BG168" s="44">
        <v>2</v>
      </c>
      <c r="BH168" s="33"/>
      <c r="BI168" s="33"/>
      <c r="BJ168" s="33"/>
      <c r="BK168" s="33"/>
      <c r="BL168" s="33"/>
      <c r="BM168" s="33"/>
      <c r="BN168" s="33"/>
      <c r="BO168" s="33"/>
      <c r="BP168" s="33">
        <v>2</v>
      </c>
      <c r="BQ168" s="33">
        <v>7.3</v>
      </c>
      <c r="BR168" s="33"/>
      <c r="BS168" s="33"/>
      <c r="BT168" s="33">
        <f>2+8+2+9+2+3+4+2+2</f>
        <v>34</v>
      </c>
      <c r="BU168" s="33">
        <f>10+11+2+1</f>
        <v>24</v>
      </c>
      <c r="BV168" s="33">
        <v>2</v>
      </c>
      <c r="BW168" s="33"/>
      <c r="BX168" s="33"/>
      <c r="BY168" s="33"/>
      <c r="BZ168" s="33">
        <v>1</v>
      </c>
      <c r="CA168" s="33"/>
      <c r="CB168" s="33"/>
      <c r="CC168" s="33"/>
      <c r="CD168" s="33"/>
      <c r="CE168" s="33"/>
      <c r="CF168" s="33"/>
      <c r="CG168" s="33"/>
      <c r="CH168" s="33"/>
      <c r="CI168" s="33"/>
      <c r="CJ168" s="33"/>
      <c r="CK168" s="33"/>
      <c r="CL168" s="33"/>
      <c r="CM168" s="33"/>
      <c r="CN168" s="35"/>
      <c r="CO168" s="35"/>
      <c r="CP168" s="35"/>
      <c r="CQ168" s="35"/>
      <c r="CR168" s="35"/>
      <c r="CS168" s="35"/>
      <c r="CT168" s="35"/>
      <c r="CU168" s="35"/>
      <c r="CV168" s="35"/>
      <c r="CW168" s="35"/>
      <c r="CX168" s="35"/>
      <c r="CY168" s="35"/>
    </row>
    <row r="169" spans="1:103" s="19" customFormat="1" x14ac:dyDescent="0.2">
      <c r="A169" s="58">
        <v>156</v>
      </c>
      <c r="B169" s="14" t="s">
        <v>1429</v>
      </c>
      <c r="C169" s="14" t="s">
        <v>79</v>
      </c>
      <c r="D169" s="15" t="s">
        <v>153</v>
      </c>
      <c r="E169" s="15"/>
      <c r="F169" s="15">
        <v>2002</v>
      </c>
      <c r="G169" s="16" t="s">
        <v>1269</v>
      </c>
      <c r="H169" s="16"/>
      <c r="I169" s="15" t="s">
        <v>8</v>
      </c>
      <c r="J169" s="15" t="s">
        <v>49</v>
      </c>
      <c r="K169" s="15" t="s">
        <v>366</v>
      </c>
      <c r="L169" s="15" t="s">
        <v>1279</v>
      </c>
      <c r="M169" s="15" t="s">
        <v>25</v>
      </c>
      <c r="N169" s="15" t="s">
        <v>201</v>
      </c>
      <c r="O169" s="15" t="s">
        <v>404</v>
      </c>
      <c r="P169" s="15" t="s">
        <v>285</v>
      </c>
      <c r="Q169" s="16" t="s">
        <v>313</v>
      </c>
      <c r="R169" s="16" t="s">
        <v>1280</v>
      </c>
      <c r="S169" s="15" t="s">
        <v>151</v>
      </c>
      <c r="T169" s="15" t="s">
        <v>1278</v>
      </c>
      <c r="U169" s="15">
        <v>7</v>
      </c>
      <c r="V169" s="57">
        <f t="shared" si="18"/>
        <v>7</v>
      </c>
      <c r="W169" s="57" t="str">
        <f t="shared" si="24"/>
        <v>L</v>
      </c>
      <c r="X169" s="15" t="s">
        <v>511</v>
      </c>
      <c r="Y169" s="15" t="s">
        <v>14</v>
      </c>
      <c r="Z169" s="15" t="s">
        <v>152</v>
      </c>
      <c r="AA169" s="15" t="s">
        <v>453</v>
      </c>
      <c r="AB169" s="15">
        <v>7</v>
      </c>
      <c r="AC169" s="15">
        <f t="shared" si="19"/>
        <v>7</v>
      </c>
      <c r="AD169" s="15" t="str">
        <f t="shared" si="20"/>
        <v>L</v>
      </c>
      <c r="AE169" s="15" t="s">
        <v>511</v>
      </c>
      <c r="AF169" s="15" t="s">
        <v>14</v>
      </c>
      <c r="AG169" s="17">
        <v>68</v>
      </c>
      <c r="AH169" s="17">
        <v>33</v>
      </c>
      <c r="AI169" s="17">
        <v>33</v>
      </c>
      <c r="AJ169" s="17">
        <v>30</v>
      </c>
      <c r="AK169" s="17">
        <v>3</v>
      </c>
      <c r="AL169" s="47"/>
      <c r="AM169" s="17"/>
      <c r="AN169" s="47"/>
      <c r="AO169" s="47"/>
      <c r="AP169" s="17"/>
      <c r="AQ169" s="17"/>
      <c r="AR169" s="17"/>
      <c r="AS169" s="17">
        <v>2</v>
      </c>
      <c r="AT169" s="17"/>
      <c r="AU169" s="17">
        <v>2</v>
      </c>
      <c r="AV169" s="17"/>
      <c r="AW169" s="17">
        <v>0</v>
      </c>
      <c r="AX169" s="17"/>
      <c r="AY169" s="17"/>
      <c r="AZ169" s="17"/>
      <c r="BA169" s="17">
        <v>35</v>
      </c>
      <c r="BB169" s="17">
        <v>35</v>
      </c>
      <c r="BC169" s="17">
        <v>33</v>
      </c>
      <c r="BD169" s="17">
        <v>2</v>
      </c>
      <c r="BE169" s="47"/>
      <c r="BF169" s="17"/>
      <c r="BG169" s="47"/>
      <c r="BH169" s="17"/>
      <c r="BI169" s="17"/>
      <c r="BJ169" s="17"/>
      <c r="BK169" s="17"/>
      <c r="BL169" s="17">
        <v>5</v>
      </c>
      <c r="BM169" s="17"/>
      <c r="BN169" s="17">
        <v>1</v>
      </c>
      <c r="BO169" s="17"/>
      <c r="BP169" s="17">
        <v>1</v>
      </c>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8"/>
      <c r="CO169" s="18"/>
      <c r="CP169" s="18"/>
      <c r="CQ169" s="18"/>
      <c r="CR169" s="18"/>
      <c r="CS169" s="18"/>
      <c r="CT169" s="18"/>
      <c r="CU169" s="18"/>
      <c r="CV169" s="18"/>
      <c r="CW169" s="18"/>
      <c r="CX169" s="18"/>
      <c r="CY169" s="18"/>
    </row>
    <row r="170" spans="1:103" s="25" customFormat="1" x14ac:dyDescent="0.2">
      <c r="A170" s="58">
        <v>157</v>
      </c>
      <c r="B170" s="14" t="s">
        <v>1429</v>
      </c>
      <c r="C170" s="14" t="s">
        <v>79</v>
      </c>
      <c r="D170" s="15" t="s">
        <v>154</v>
      </c>
      <c r="E170" s="15"/>
      <c r="F170" s="15">
        <v>2001</v>
      </c>
      <c r="G170" s="16" t="s">
        <v>1268</v>
      </c>
      <c r="H170" s="16"/>
      <c r="I170" s="15" t="s">
        <v>8</v>
      </c>
      <c r="J170" s="15" t="s">
        <v>275</v>
      </c>
      <c r="K170" s="15" t="s">
        <v>1474</v>
      </c>
      <c r="L170" s="15" t="s">
        <v>32</v>
      </c>
      <c r="M170" s="15" t="s">
        <v>25</v>
      </c>
      <c r="N170" s="15" t="s">
        <v>201</v>
      </c>
      <c r="O170" s="15" t="s">
        <v>404</v>
      </c>
      <c r="P170" s="31" t="s">
        <v>333</v>
      </c>
      <c r="Q170" s="16" t="s">
        <v>313</v>
      </c>
      <c r="R170" s="16" t="s">
        <v>1281</v>
      </c>
      <c r="S170" s="15" t="s">
        <v>155</v>
      </c>
      <c r="T170" s="15" t="s">
        <v>240</v>
      </c>
      <c r="U170" s="15" t="s">
        <v>354</v>
      </c>
      <c r="V170" s="57">
        <v>10</v>
      </c>
      <c r="W170" s="57" t="str">
        <f t="shared" si="24"/>
        <v>L</v>
      </c>
      <c r="X170" s="15" t="s">
        <v>13</v>
      </c>
      <c r="Y170" s="15" t="s">
        <v>14</v>
      </c>
      <c r="Z170" s="15" t="s">
        <v>156</v>
      </c>
      <c r="AA170" s="15" t="s">
        <v>1186</v>
      </c>
      <c r="AB170" s="15" t="s">
        <v>354</v>
      </c>
      <c r="AC170" s="15">
        <v>10</v>
      </c>
      <c r="AD170" s="15" t="str">
        <f t="shared" si="20"/>
        <v>L</v>
      </c>
      <c r="AE170" s="15" t="s">
        <v>558</v>
      </c>
      <c r="AF170" s="15" t="s">
        <v>14</v>
      </c>
      <c r="AG170" s="17">
        <v>69</v>
      </c>
      <c r="AH170" s="17">
        <v>35</v>
      </c>
      <c r="AI170" s="17">
        <v>35</v>
      </c>
      <c r="AJ170" s="17">
        <v>32</v>
      </c>
      <c r="AK170" s="17">
        <v>3</v>
      </c>
      <c r="AL170" s="47">
        <v>33</v>
      </c>
      <c r="AM170" s="17">
        <v>31</v>
      </c>
      <c r="AN170" s="47">
        <v>2</v>
      </c>
      <c r="AO170" s="47"/>
      <c r="AP170" s="17"/>
      <c r="AQ170" s="17"/>
      <c r="AR170" s="17"/>
      <c r="AS170" s="17">
        <v>15</v>
      </c>
      <c r="AT170" s="17">
        <v>5</v>
      </c>
      <c r="AU170" s="17">
        <v>1</v>
      </c>
      <c r="AV170" s="17"/>
      <c r="AW170" s="17">
        <v>9</v>
      </c>
      <c r="AX170" s="17"/>
      <c r="AY170" s="17"/>
      <c r="AZ170" s="17"/>
      <c r="BA170" s="17">
        <v>34</v>
      </c>
      <c r="BB170" s="17">
        <v>34</v>
      </c>
      <c r="BC170" s="17">
        <v>31</v>
      </c>
      <c r="BD170" s="17">
        <v>3</v>
      </c>
      <c r="BE170" s="47">
        <v>32</v>
      </c>
      <c r="BF170" s="17">
        <v>31</v>
      </c>
      <c r="BG170" s="47">
        <v>1</v>
      </c>
      <c r="BH170" s="17"/>
      <c r="BI170" s="17"/>
      <c r="BJ170" s="17"/>
      <c r="BK170" s="17"/>
      <c r="BL170" s="17">
        <v>14</v>
      </c>
      <c r="BM170" s="17">
        <v>5</v>
      </c>
      <c r="BN170" s="17">
        <v>0</v>
      </c>
      <c r="BO170" s="17"/>
      <c r="BP170" s="17">
        <v>8</v>
      </c>
      <c r="BQ170" s="17"/>
      <c r="BR170" s="17"/>
      <c r="BS170" s="17"/>
      <c r="BT170" s="17">
        <f>4+7+2+2+9+1+2+2+4+3+1+4+1+1+2+2+1</f>
        <v>48</v>
      </c>
      <c r="BU170" s="17">
        <v>9</v>
      </c>
      <c r="BV170" s="17">
        <v>4</v>
      </c>
      <c r="BW170" s="17">
        <v>4</v>
      </c>
      <c r="BX170" s="17">
        <v>2</v>
      </c>
      <c r="BY170" s="17">
        <v>11</v>
      </c>
      <c r="BZ170" s="17"/>
      <c r="CA170" s="17"/>
      <c r="CB170" s="17"/>
      <c r="CC170" s="17"/>
      <c r="CD170" s="17"/>
      <c r="CE170" s="17"/>
      <c r="CF170" s="17"/>
      <c r="CG170" s="17"/>
      <c r="CH170" s="17"/>
      <c r="CI170" s="17"/>
      <c r="CJ170" s="17"/>
      <c r="CK170" s="17"/>
      <c r="CL170" s="17"/>
      <c r="CM170" s="17"/>
      <c r="CN170" s="18"/>
      <c r="CO170" s="18"/>
      <c r="CP170" s="18"/>
      <c r="CQ170" s="18"/>
      <c r="CR170" s="18"/>
      <c r="CS170" s="18"/>
      <c r="CT170" s="18"/>
      <c r="CU170" s="18"/>
      <c r="CV170" s="18"/>
      <c r="CW170" s="18"/>
      <c r="CX170" s="18"/>
      <c r="CY170" s="18"/>
    </row>
    <row r="171" spans="1:103" s="19" customFormat="1" x14ac:dyDescent="0.2">
      <c r="A171" s="58">
        <v>158</v>
      </c>
      <c r="B171" s="14" t="s">
        <v>1429</v>
      </c>
      <c r="C171" s="14" t="s">
        <v>79</v>
      </c>
      <c r="D171" s="15" t="s">
        <v>168</v>
      </c>
      <c r="E171" s="15"/>
      <c r="F171" s="15">
        <v>2002</v>
      </c>
      <c r="G171" s="16" t="s">
        <v>1267</v>
      </c>
      <c r="H171" s="24" t="s">
        <v>1270</v>
      </c>
      <c r="I171" s="15" t="s">
        <v>8</v>
      </c>
      <c r="J171" s="15" t="s">
        <v>38</v>
      </c>
      <c r="K171" s="15" t="s">
        <v>1473</v>
      </c>
      <c r="L171" s="15" t="s">
        <v>32</v>
      </c>
      <c r="M171" s="15" t="s">
        <v>25</v>
      </c>
      <c r="N171" s="15" t="s">
        <v>201</v>
      </c>
      <c r="O171" s="15" t="s">
        <v>404</v>
      </c>
      <c r="P171" s="31" t="s">
        <v>333</v>
      </c>
      <c r="Q171" s="16" t="s">
        <v>313</v>
      </c>
      <c r="R171" s="16" t="s">
        <v>1282</v>
      </c>
      <c r="S171" s="15" t="s">
        <v>169</v>
      </c>
      <c r="T171" s="15" t="s">
        <v>453</v>
      </c>
      <c r="U171" s="15">
        <v>4</v>
      </c>
      <c r="V171" s="57">
        <f t="shared" si="18"/>
        <v>4</v>
      </c>
      <c r="W171" s="57" t="str">
        <f t="shared" si="24"/>
        <v>S</v>
      </c>
      <c r="X171" s="15" t="s">
        <v>558</v>
      </c>
      <c r="Y171" s="15" t="s">
        <v>14</v>
      </c>
      <c r="Z171" s="15" t="s">
        <v>152</v>
      </c>
      <c r="AA171" s="15" t="s">
        <v>453</v>
      </c>
      <c r="AB171" s="15">
        <v>4</v>
      </c>
      <c r="AC171" s="15">
        <v>5</v>
      </c>
      <c r="AD171" s="15" t="str">
        <f t="shared" si="20"/>
        <v>S</v>
      </c>
      <c r="AE171" s="15" t="s">
        <v>511</v>
      </c>
      <c r="AF171" s="15" t="s">
        <v>14</v>
      </c>
      <c r="AG171" s="17">
        <v>502</v>
      </c>
      <c r="AH171" s="17">
        <v>236</v>
      </c>
      <c r="AI171" s="17">
        <v>236</v>
      </c>
      <c r="AJ171" s="17">
        <v>201</v>
      </c>
      <c r="AK171" s="17">
        <f>+AI171-AJ171</f>
        <v>35</v>
      </c>
      <c r="AL171" s="47">
        <f>110+72+37</f>
        <v>219</v>
      </c>
      <c r="AM171" s="17">
        <f>101+67+35</f>
        <v>203</v>
      </c>
      <c r="AN171" s="47">
        <f>+AL171-AM171</f>
        <v>16</v>
      </c>
      <c r="AO171" s="47">
        <v>96</v>
      </c>
      <c r="AP171" s="17">
        <v>89</v>
      </c>
      <c r="AQ171" s="17">
        <v>7</v>
      </c>
      <c r="AR171" s="17"/>
      <c r="AS171" s="17">
        <v>27</v>
      </c>
      <c r="AT171" s="17"/>
      <c r="AU171" s="17"/>
      <c r="AV171" s="17"/>
      <c r="AW171" s="17"/>
      <c r="AX171" s="17"/>
      <c r="AY171" s="17"/>
      <c r="AZ171" s="17"/>
      <c r="BA171" s="17">
        <v>201</v>
      </c>
      <c r="BB171" s="17">
        <v>250</v>
      </c>
      <c r="BC171" s="17">
        <v>212</v>
      </c>
      <c r="BD171" s="17">
        <v>38</v>
      </c>
      <c r="BE171" s="47">
        <f>126+75+42</f>
        <v>243</v>
      </c>
      <c r="BF171" s="17">
        <f>115+68+37</f>
        <v>220</v>
      </c>
      <c r="BG171" s="47">
        <v>23</v>
      </c>
      <c r="BH171" s="17">
        <v>113</v>
      </c>
      <c r="BI171" s="17">
        <v>107</v>
      </c>
      <c r="BJ171" s="17">
        <v>6</v>
      </c>
      <c r="BK171" s="17"/>
      <c r="BL171" s="17">
        <v>43</v>
      </c>
      <c r="BM171" s="17"/>
      <c r="BN171" s="17"/>
      <c r="BO171" s="17"/>
      <c r="BP171" s="17"/>
      <c r="BQ171" s="17"/>
      <c r="BR171" s="17"/>
      <c r="BS171" s="17"/>
      <c r="BT171" s="17">
        <f>47+66+61+70</f>
        <v>244</v>
      </c>
      <c r="BU171" s="17">
        <f>48+60</f>
        <v>108</v>
      </c>
      <c r="BV171" s="17">
        <f>21+23</f>
        <v>44</v>
      </c>
      <c r="BW171" s="17"/>
      <c r="BX171" s="17"/>
      <c r="BY171" s="17">
        <f>8+5</f>
        <v>13</v>
      </c>
      <c r="BZ171" s="17"/>
      <c r="CA171" s="17"/>
      <c r="CB171" s="17"/>
      <c r="CC171" s="17"/>
      <c r="CD171" s="17"/>
      <c r="CE171" s="17"/>
      <c r="CF171" s="17"/>
      <c r="CG171" s="17"/>
      <c r="CH171" s="17"/>
      <c r="CI171" s="17"/>
      <c r="CJ171" s="17"/>
      <c r="CK171" s="17"/>
      <c r="CL171" s="17"/>
      <c r="CM171" s="17"/>
      <c r="CN171" s="18"/>
      <c r="CO171" s="18"/>
      <c r="CP171" s="18"/>
      <c r="CQ171" s="18"/>
      <c r="CR171" s="18"/>
      <c r="CS171" s="18"/>
      <c r="CT171" s="18"/>
      <c r="CU171" s="18"/>
      <c r="CV171" s="18"/>
      <c r="CW171" s="18"/>
      <c r="CX171" s="18"/>
      <c r="CY171" s="18"/>
    </row>
    <row r="172" spans="1:103" s="19" customFormat="1" x14ac:dyDescent="0.2">
      <c r="A172" s="58">
        <v>159</v>
      </c>
      <c r="B172" s="14" t="s">
        <v>1429</v>
      </c>
      <c r="C172" s="14" t="s">
        <v>79</v>
      </c>
      <c r="D172" s="15" t="s">
        <v>170</v>
      </c>
      <c r="E172" s="15"/>
      <c r="F172" s="15">
        <v>2006</v>
      </c>
      <c r="G172" s="16" t="s">
        <v>171</v>
      </c>
      <c r="H172" s="24" t="s">
        <v>1265</v>
      </c>
      <c r="I172" s="15" t="s">
        <v>8</v>
      </c>
      <c r="J172" s="15" t="s">
        <v>38</v>
      </c>
      <c r="K172" s="15" t="s">
        <v>1473</v>
      </c>
      <c r="L172" s="15" t="s">
        <v>31</v>
      </c>
      <c r="M172" s="15" t="s">
        <v>11</v>
      </c>
      <c r="N172" s="15" t="s">
        <v>201</v>
      </c>
      <c r="O172" s="15" t="s">
        <v>404</v>
      </c>
      <c r="P172" s="31" t="s">
        <v>333</v>
      </c>
      <c r="Q172" s="16" t="s">
        <v>313</v>
      </c>
      <c r="R172" s="16" t="s">
        <v>1285</v>
      </c>
      <c r="S172" s="15" t="s">
        <v>531</v>
      </c>
      <c r="T172" s="15" t="s">
        <v>1283</v>
      </c>
      <c r="U172" s="15" t="s">
        <v>548</v>
      </c>
      <c r="V172" s="57">
        <v>7</v>
      </c>
      <c r="W172" s="57" t="str">
        <f t="shared" si="24"/>
        <v>L</v>
      </c>
      <c r="X172" s="15" t="s">
        <v>131</v>
      </c>
      <c r="Y172" s="15" t="s">
        <v>388</v>
      </c>
      <c r="Z172" s="15" t="s">
        <v>531</v>
      </c>
      <c r="AA172" s="15" t="s">
        <v>1284</v>
      </c>
      <c r="AB172" s="15" t="s">
        <v>548</v>
      </c>
      <c r="AC172" s="15">
        <v>7</v>
      </c>
      <c r="AD172" s="15" t="str">
        <f t="shared" si="20"/>
        <v>L</v>
      </c>
      <c r="AE172" s="15" t="s">
        <v>131</v>
      </c>
      <c r="AF172" s="15" t="s">
        <v>388</v>
      </c>
      <c r="AG172" s="17">
        <v>566</v>
      </c>
      <c r="AH172" s="17">
        <v>374</v>
      </c>
      <c r="AI172" s="17">
        <v>374</v>
      </c>
      <c r="AJ172" s="17">
        <v>331</v>
      </c>
      <c r="AK172" s="17">
        <f>+AI172-AJ172</f>
        <v>43</v>
      </c>
      <c r="AL172" s="47">
        <v>317</v>
      </c>
      <c r="AM172" s="17">
        <v>302</v>
      </c>
      <c r="AN172" s="47">
        <f>+AL172-AM172</f>
        <v>15</v>
      </c>
      <c r="AO172" s="47">
        <v>288</v>
      </c>
      <c r="AP172" s="17">
        <v>271</v>
      </c>
      <c r="AQ172" s="17">
        <f>+AO172-AP172</f>
        <v>17</v>
      </c>
      <c r="AR172" s="17"/>
      <c r="AS172" s="17">
        <v>189</v>
      </c>
      <c r="AT172" s="17"/>
      <c r="AU172" s="17">
        <v>23</v>
      </c>
      <c r="AV172" s="17"/>
      <c r="AW172" s="17"/>
      <c r="AX172" s="17"/>
      <c r="AY172" s="17"/>
      <c r="AZ172" s="17"/>
      <c r="BA172" s="17">
        <v>192</v>
      </c>
      <c r="BB172" s="17">
        <v>192</v>
      </c>
      <c r="BC172" s="17">
        <v>168</v>
      </c>
      <c r="BD172" s="17">
        <v>24</v>
      </c>
      <c r="BE172" s="47">
        <v>160</v>
      </c>
      <c r="BF172" s="17">
        <v>153</v>
      </c>
      <c r="BG172" s="47">
        <f>+BE172-BF172</f>
        <v>7</v>
      </c>
      <c r="BH172" s="17">
        <v>148</v>
      </c>
      <c r="BI172" s="17">
        <v>141</v>
      </c>
      <c r="BJ172" s="17">
        <f>+BH172-BI172</f>
        <v>7</v>
      </c>
      <c r="BK172" s="17"/>
      <c r="BL172" s="17">
        <v>102</v>
      </c>
      <c r="BM172" s="17"/>
      <c r="BN172" s="17">
        <v>16</v>
      </c>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8"/>
      <c r="CO172" s="18"/>
      <c r="CP172" s="18"/>
      <c r="CQ172" s="18"/>
      <c r="CR172" s="18"/>
      <c r="CS172" s="18"/>
      <c r="CT172" s="18"/>
      <c r="CU172" s="18"/>
      <c r="CV172" s="18"/>
      <c r="CW172" s="18"/>
      <c r="CX172" s="18"/>
      <c r="CY172" s="18"/>
    </row>
    <row r="173" spans="1:103" s="19" customFormat="1" ht="17" customHeight="1" x14ac:dyDescent="0.2">
      <c r="A173" s="58">
        <v>160</v>
      </c>
      <c r="B173" s="14" t="s">
        <v>1429</v>
      </c>
      <c r="C173" s="14" t="s">
        <v>79</v>
      </c>
      <c r="D173" s="15" t="s">
        <v>172</v>
      </c>
      <c r="E173" s="15"/>
      <c r="F173" s="15">
        <v>2014</v>
      </c>
      <c r="G173" s="16" t="s">
        <v>185</v>
      </c>
      <c r="H173" s="24" t="s">
        <v>186</v>
      </c>
      <c r="I173" s="15" t="s">
        <v>8</v>
      </c>
      <c r="J173" s="15" t="s">
        <v>36</v>
      </c>
      <c r="K173" s="15" t="s">
        <v>1471</v>
      </c>
      <c r="L173" s="15" t="s">
        <v>68</v>
      </c>
      <c r="M173" s="15" t="s">
        <v>25</v>
      </c>
      <c r="N173" s="15" t="s">
        <v>201</v>
      </c>
      <c r="O173" s="15" t="s">
        <v>404</v>
      </c>
      <c r="P173" s="15" t="s">
        <v>285</v>
      </c>
      <c r="Q173" s="16" t="s">
        <v>313</v>
      </c>
      <c r="R173" s="16" t="s">
        <v>1286</v>
      </c>
      <c r="S173" s="15" t="s">
        <v>40</v>
      </c>
      <c r="T173" s="15" t="s">
        <v>240</v>
      </c>
      <c r="U173" s="15" t="s">
        <v>1089</v>
      </c>
      <c r="V173" s="57">
        <v>21</v>
      </c>
      <c r="W173" s="57" t="str">
        <f t="shared" si="24"/>
        <v>L</v>
      </c>
      <c r="X173" s="15" t="s">
        <v>13</v>
      </c>
      <c r="Y173" s="15" t="s">
        <v>14</v>
      </c>
      <c r="Z173" s="15" t="s">
        <v>173</v>
      </c>
      <c r="AA173" s="15" t="s">
        <v>405</v>
      </c>
      <c r="AB173" s="15" t="s">
        <v>1089</v>
      </c>
      <c r="AC173" s="15">
        <v>21</v>
      </c>
      <c r="AD173" s="15" t="str">
        <f t="shared" si="20"/>
        <v>L</v>
      </c>
      <c r="AE173" s="16" t="s">
        <v>1287</v>
      </c>
      <c r="AF173" s="15" t="s">
        <v>1088</v>
      </c>
      <c r="AG173" s="17">
        <v>81</v>
      </c>
      <c r="AH173" s="17">
        <v>37</v>
      </c>
      <c r="AI173" s="17"/>
      <c r="AJ173" s="17"/>
      <c r="AK173" s="17"/>
      <c r="AL173" s="47">
        <v>37</v>
      </c>
      <c r="AM173" s="17">
        <v>30</v>
      </c>
      <c r="AN173" s="47">
        <v>7</v>
      </c>
      <c r="AO173" s="47">
        <f>10+17+2+4+1+1</f>
        <v>35</v>
      </c>
      <c r="AP173" s="17">
        <f>10+17+2</f>
        <v>29</v>
      </c>
      <c r="AQ173" s="17">
        <v>6</v>
      </c>
      <c r="AR173" s="17"/>
      <c r="AS173" s="17">
        <v>4</v>
      </c>
      <c r="AT173" s="17"/>
      <c r="AU173" s="17"/>
      <c r="AV173" s="17"/>
      <c r="AW173" s="17"/>
      <c r="AX173" s="17"/>
      <c r="AY173" s="17"/>
      <c r="AZ173" s="17"/>
      <c r="BA173" s="17">
        <v>40</v>
      </c>
      <c r="BB173" s="17"/>
      <c r="BC173" s="17"/>
      <c r="BD173" s="17"/>
      <c r="BE173" s="47">
        <v>40</v>
      </c>
      <c r="BF173" s="17">
        <v>28</v>
      </c>
      <c r="BG173" s="47">
        <v>12</v>
      </c>
      <c r="BH173" s="17">
        <v>37</v>
      </c>
      <c r="BI173" s="17">
        <f>19+8</f>
        <v>27</v>
      </c>
      <c r="BJ173" s="17">
        <v>10</v>
      </c>
      <c r="BK173" s="17"/>
      <c r="BL173" s="17">
        <v>7</v>
      </c>
      <c r="BM173" s="17"/>
      <c r="BN173" s="17"/>
      <c r="BO173" s="17"/>
      <c r="BP173" s="17"/>
      <c r="BQ173" s="17"/>
      <c r="BR173" s="17"/>
      <c r="BS173" s="17"/>
      <c r="BT173" s="17">
        <f>2+2+1+1+1+2+3+4+1</f>
        <v>17</v>
      </c>
      <c r="BU173" s="17">
        <v>2</v>
      </c>
      <c r="BV173" s="17">
        <v>1</v>
      </c>
      <c r="BW173" s="17">
        <v>5</v>
      </c>
      <c r="BX173" s="17"/>
      <c r="BY173" s="17"/>
      <c r="BZ173" s="17">
        <v>3</v>
      </c>
      <c r="CA173" s="17"/>
      <c r="CB173" s="17"/>
      <c r="CC173" s="17"/>
      <c r="CD173" s="17"/>
      <c r="CE173" s="17"/>
      <c r="CF173" s="17"/>
      <c r="CG173" s="17"/>
      <c r="CH173" s="17"/>
      <c r="CI173" s="17"/>
      <c r="CJ173" s="17"/>
      <c r="CK173" s="17"/>
      <c r="CL173" s="17"/>
      <c r="CM173" s="17"/>
      <c r="CN173" s="18"/>
      <c r="CO173" s="18"/>
      <c r="CP173" s="18"/>
      <c r="CQ173" s="18"/>
      <c r="CR173" s="18"/>
      <c r="CS173" s="18"/>
      <c r="CT173" s="18"/>
      <c r="CU173" s="18"/>
      <c r="CV173" s="18"/>
      <c r="CW173" s="18"/>
      <c r="CX173" s="18"/>
      <c r="CY173" s="18"/>
    </row>
    <row r="174" spans="1:103" s="19" customFormat="1" x14ac:dyDescent="0.2">
      <c r="A174" s="58">
        <v>161</v>
      </c>
      <c r="B174" s="14" t="s">
        <v>1429</v>
      </c>
      <c r="C174" s="14" t="s">
        <v>79</v>
      </c>
      <c r="D174" s="15" t="s">
        <v>176</v>
      </c>
      <c r="E174" s="15"/>
      <c r="F174" s="15">
        <v>2002</v>
      </c>
      <c r="G174" s="16" t="s">
        <v>1262</v>
      </c>
      <c r="H174" s="24" t="s">
        <v>1263</v>
      </c>
      <c r="I174" s="15" t="s">
        <v>8</v>
      </c>
      <c r="J174" s="15" t="s">
        <v>38</v>
      </c>
      <c r="K174" s="15" t="s">
        <v>1473</v>
      </c>
      <c r="L174" s="15" t="s">
        <v>32</v>
      </c>
      <c r="M174" s="15" t="s">
        <v>25</v>
      </c>
      <c r="N174" s="15" t="s">
        <v>201</v>
      </c>
      <c r="O174" s="15" t="s">
        <v>404</v>
      </c>
      <c r="P174" s="31" t="s">
        <v>333</v>
      </c>
      <c r="Q174" s="16" t="s">
        <v>313</v>
      </c>
      <c r="R174" s="16" t="s">
        <v>1288</v>
      </c>
      <c r="S174" s="15" t="s">
        <v>169</v>
      </c>
      <c r="T174" s="15" t="s">
        <v>453</v>
      </c>
      <c r="U174" s="15" t="s">
        <v>845</v>
      </c>
      <c r="V174" s="57">
        <v>12</v>
      </c>
      <c r="W174" s="57" t="str">
        <f t="shared" si="24"/>
        <v>L</v>
      </c>
      <c r="X174" s="15" t="s">
        <v>558</v>
      </c>
      <c r="Y174" s="15" t="s">
        <v>14</v>
      </c>
      <c r="Z174" s="15" t="s">
        <v>152</v>
      </c>
      <c r="AA174" s="15" t="s">
        <v>453</v>
      </c>
      <c r="AB174" s="15" t="s">
        <v>845</v>
      </c>
      <c r="AC174" s="15">
        <v>12</v>
      </c>
      <c r="AD174" s="15" t="str">
        <f t="shared" si="20"/>
        <v>L</v>
      </c>
      <c r="AE174" s="15" t="s">
        <v>511</v>
      </c>
      <c r="AF174" s="15" t="s">
        <v>14</v>
      </c>
      <c r="AG174" s="17">
        <v>364</v>
      </c>
      <c r="AH174" s="17">
        <v>239</v>
      </c>
      <c r="AI174" s="17"/>
      <c r="AJ174" s="17"/>
      <c r="AK174" s="17"/>
      <c r="AL174" s="47">
        <v>182</v>
      </c>
      <c r="AM174" s="17">
        <v>167</v>
      </c>
      <c r="AN174" s="47">
        <f>+AL174-AM174</f>
        <v>15</v>
      </c>
      <c r="AO174" s="47">
        <v>100</v>
      </c>
      <c r="AP174" s="17">
        <v>91</v>
      </c>
      <c r="AQ174" s="17">
        <v>9</v>
      </c>
      <c r="AR174" s="17"/>
      <c r="AS174" s="17"/>
      <c r="AT174" s="17">
        <v>26</v>
      </c>
      <c r="AU174" s="17">
        <v>16</v>
      </c>
      <c r="AV174" s="17"/>
      <c r="AW174" s="17">
        <v>1</v>
      </c>
      <c r="AX174" s="17"/>
      <c r="AY174" s="17"/>
      <c r="AZ174" s="17"/>
      <c r="BA174" s="17">
        <v>125</v>
      </c>
      <c r="BB174" s="17"/>
      <c r="BC174" s="17"/>
      <c r="BD174" s="17"/>
      <c r="BE174" s="47">
        <v>93</v>
      </c>
      <c r="BF174" s="17">
        <v>87</v>
      </c>
      <c r="BG174" s="47">
        <v>6</v>
      </c>
      <c r="BH174" s="17">
        <v>49</v>
      </c>
      <c r="BI174" s="17">
        <v>45</v>
      </c>
      <c r="BJ174" s="17">
        <v>4</v>
      </c>
      <c r="BK174" s="17"/>
      <c r="BL174" s="17"/>
      <c r="BM174" s="17">
        <v>15</v>
      </c>
      <c r="BN174" s="17">
        <v>13</v>
      </c>
      <c r="BO174" s="17"/>
      <c r="BP174" s="17">
        <v>1</v>
      </c>
      <c r="BQ174" s="17"/>
      <c r="BR174" s="17"/>
      <c r="BS174" s="17"/>
      <c r="BT174" s="17">
        <v>149</v>
      </c>
      <c r="BU174" s="17">
        <f>49+22</f>
        <v>71</v>
      </c>
      <c r="BV174" s="17">
        <f>12+8</f>
        <v>20</v>
      </c>
      <c r="BW174" s="17"/>
      <c r="BX174" s="17"/>
      <c r="BY174" s="17"/>
      <c r="BZ174" s="17"/>
      <c r="CA174" s="17"/>
      <c r="CB174" s="17"/>
      <c r="CC174" s="17"/>
      <c r="CD174" s="17"/>
      <c r="CE174" s="17"/>
      <c r="CF174" s="17"/>
      <c r="CG174" s="17"/>
      <c r="CH174" s="17"/>
      <c r="CI174" s="17"/>
      <c r="CJ174" s="17"/>
      <c r="CK174" s="17"/>
      <c r="CL174" s="17"/>
      <c r="CM174" s="17"/>
      <c r="CN174" s="18"/>
      <c r="CO174" s="18"/>
      <c r="CP174" s="18"/>
      <c r="CQ174" s="18"/>
      <c r="CR174" s="18"/>
      <c r="CS174" s="18"/>
      <c r="CT174" s="18"/>
      <c r="CU174" s="18"/>
      <c r="CV174" s="18"/>
      <c r="CW174" s="18"/>
      <c r="CX174" s="18"/>
      <c r="CY174" s="18"/>
    </row>
    <row r="175" spans="1:103" s="19" customFormat="1" x14ac:dyDescent="0.2">
      <c r="A175" s="58">
        <v>162</v>
      </c>
      <c r="B175" s="14" t="s">
        <v>1429</v>
      </c>
      <c r="C175" s="14" t="s">
        <v>79</v>
      </c>
      <c r="D175" s="15" t="s">
        <v>1261</v>
      </c>
      <c r="E175" s="15"/>
      <c r="F175" s="15">
        <v>2009</v>
      </c>
      <c r="G175" s="16" t="s">
        <v>1266</v>
      </c>
      <c r="H175" s="24" t="s">
        <v>1264</v>
      </c>
      <c r="I175" s="15" t="s">
        <v>8</v>
      </c>
      <c r="J175" s="15" t="s">
        <v>431</v>
      </c>
      <c r="K175" s="15" t="s">
        <v>1471</v>
      </c>
      <c r="L175" s="15" t="s">
        <v>32</v>
      </c>
      <c r="M175" s="15" t="s">
        <v>25</v>
      </c>
      <c r="N175" s="15" t="s">
        <v>201</v>
      </c>
      <c r="O175" s="15" t="s">
        <v>404</v>
      </c>
      <c r="P175" s="31" t="s">
        <v>333</v>
      </c>
      <c r="Q175" s="16" t="s">
        <v>313</v>
      </c>
      <c r="R175" s="16" t="s">
        <v>1292</v>
      </c>
      <c r="S175" s="15" t="s">
        <v>1289</v>
      </c>
      <c r="T175" s="15" t="s">
        <v>1290</v>
      </c>
      <c r="U175" s="15" t="s">
        <v>1168</v>
      </c>
      <c r="V175" s="57">
        <v>5</v>
      </c>
      <c r="W175" s="57" t="str">
        <f t="shared" si="24"/>
        <v>S</v>
      </c>
      <c r="X175" s="15" t="s">
        <v>131</v>
      </c>
      <c r="Y175" s="15" t="s">
        <v>14</v>
      </c>
      <c r="Z175" s="15" t="s">
        <v>1291</v>
      </c>
      <c r="AA175" s="15" t="s">
        <v>731</v>
      </c>
      <c r="AB175" s="15" t="s">
        <v>1168</v>
      </c>
      <c r="AC175" s="15">
        <v>5</v>
      </c>
      <c r="AD175" s="15" t="str">
        <f t="shared" si="20"/>
        <v>S</v>
      </c>
      <c r="AE175" s="15" t="s">
        <v>131</v>
      </c>
      <c r="AF175" s="15" t="s">
        <v>388</v>
      </c>
      <c r="AG175" s="17">
        <v>109</v>
      </c>
      <c r="AH175" s="17">
        <v>53</v>
      </c>
      <c r="AI175" s="17"/>
      <c r="AJ175" s="17"/>
      <c r="AK175" s="17"/>
      <c r="AL175" s="47">
        <v>53</v>
      </c>
      <c r="AM175" s="17">
        <v>41</v>
      </c>
      <c r="AN175" s="47">
        <v>12</v>
      </c>
      <c r="AO175" s="47">
        <v>26</v>
      </c>
      <c r="AP175" s="17">
        <v>22</v>
      </c>
      <c r="AQ175" s="17">
        <v>4</v>
      </c>
      <c r="AR175" s="17"/>
      <c r="AS175" s="17">
        <v>3</v>
      </c>
      <c r="AT175" s="17"/>
      <c r="AU175" s="17"/>
      <c r="AV175" s="17"/>
      <c r="AW175" s="17"/>
      <c r="AX175" s="17"/>
      <c r="AY175" s="17"/>
      <c r="AZ175" s="17"/>
      <c r="BA175" s="17">
        <v>49</v>
      </c>
      <c r="BB175" s="17"/>
      <c r="BC175" s="17"/>
      <c r="BD175" s="17"/>
      <c r="BE175" s="47">
        <v>49</v>
      </c>
      <c r="BF175" s="17">
        <v>33</v>
      </c>
      <c r="BG175" s="47">
        <f>+BE175-BF175</f>
        <v>16</v>
      </c>
      <c r="BH175" s="17">
        <v>24</v>
      </c>
      <c r="BI175" s="17">
        <v>19</v>
      </c>
      <c r="BJ175" s="17">
        <v>5</v>
      </c>
      <c r="BK175" s="17"/>
      <c r="BL175" s="17">
        <v>5</v>
      </c>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8"/>
      <c r="CO175" s="18"/>
      <c r="CP175" s="18"/>
      <c r="CQ175" s="18"/>
      <c r="CR175" s="18"/>
      <c r="CS175" s="18"/>
      <c r="CT175" s="18"/>
      <c r="CU175" s="18"/>
      <c r="CV175" s="18"/>
      <c r="CW175" s="18"/>
      <c r="CX175" s="18"/>
      <c r="CY175" s="18"/>
    </row>
    <row r="176" spans="1:103" s="36" customFormat="1" x14ac:dyDescent="0.2">
      <c r="A176" s="58">
        <v>163</v>
      </c>
      <c r="B176" s="14" t="s">
        <v>1429</v>
      </c>
      <c r="C176" s="30" t="s">
        <v>79</v>
      </c>
      <c r="D176" s="31" t="s">
        <v>1299</v>
      </c>
      <c r="E176" s="31"/>
      <c r="F176" s="31">
        <v>2023</v>
      </c>
      <c r="G176" s="32" t="s">
        <v>1301</v>
      </c>
      <c r="H176" s="32"/>
      <c r="I176" s="31" t="s">
        <v>8</v>
      </c>
      <c r="J176" s="31" t="s">
        <v>109</v>
      </c>
      <c r="K176" s="31" t="s">
        <v>1471</v>
      </c>
      <c r="L176" s="31" t="s">
        <v>32</v>
      </c>
      <c r="M176" s="15" t="s">
        <v>25</v>
      </c>
      <c r="N176" s="31" t="s">
        <v>75</v>
      </c>
      <c r="O176" s="31" t="s">
        <v>1162</v>
      </c>
      <c r="P176" s="31" t="s">
        <v>333</v>
      </c>
      <c r="Q176" s="32" t="s">
        <v>313</v>
      </c>
      <c r="R176" s="32"/>
      <c r="S176" s="31" t="s">
        <v>152</v>
      </c>
      <c r="T176" s="31" t="s">
        <v>390</v>
      </c>
      <c r="U176" s="31" t="s">
        <v>693</v>
      </c>
      <c r="V176" s="57">
        <v>5</v>
      </c>
      <c r="W176" s="57" t="str">
        <f t="shared" si="24"/>
        <v>S</v>
      </c>
      <c r="X176" s="31" t="s">
        <v>511</v>
      </c>
      <c r="Y176" s="31" t="s">
        <v>14</v>
      </c>
      <c r="Z176" s="31" t="s">
        <v>1304</v>
      </c>
      <c r="AA176" s="31" t="s">
        <v>390</v>
      </c>
      <c r="AB176" s="31" t="s">
        <v>693</v>
      </c>
      <c r="AC176" s="15">
        <v>7</v>
      </c>
      <c r="AD176" s="15" t="str">
        <f t="shared" si="20"/>
        <v>L</v>
      </c>
      <c r="AE176" s="32" t="s">
        <v>507</v>
      </c>
      <c r="AF176" s="31" t="s">
        <v>14</v>
      </c>
      <c r="AG176" s="33">
        <v>128</v>
      </c>
      <c r="AH176" s="33">
        <f>46+18</f>
        <v>64</v>
      </c>
      <c r="AI176" s="33">
        <v>64</v>
      </c>
      <c r="AJ176" s="33">
        <v>46</v>
      </c>
      <c r="AK176" s="33">
        <v>18</v>
      </c>
      <c r="AL176" s="44"/>
      <c r="AM176" s="33"/>
      <c r="AN176" s="44"/>
      <c r="AO176" s="44"/>
      <c r="AP176" s="33"/>
      <c r="AQ176" s="33"/>
      <c r="AR176" s="33"/>
      <c r="AS176" s="33"/>
      <c r="AT176" s="33"/>
      <c r="AU176" s="33"/>
      <c r="AV176" s="33"/>
      <c r="AW176" s="33"/>
      <c r="AX176" s="33"/>
      <c r="AY176" s="33"/>
      <c r="AZ176" s="33"/>
      <c r="BA176" s="33">
        <f>55+9</f>
        <v>64</v>
      </c>
      <c r="BB176" s="33">
        <v>64</v>
      </c>
      <c r="BC176" s="33">
        <v>55</v>
      </c>
      <c r="BD176" s="33">
        <v>9</v>
      </c>
      <c r="BE176" s="44"/>
      <c r="BF176" s="33"/>
      <c r="BG176" s="44"/>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5"/>
      <c r="CO176" s="35"/>
      <c r="CP176" s="35"/>
      <c r="CQ176" s="35"/>
      <c r="CR176" s="35"/>
      <c r="CS176" s="35"/>
      <c r="CT176" s="35"/>
      <c r="CU176" s="35"/>
      <c r="CV176" s="35"/>
      <c r="CW176" s="35"/>
      <c r="CX176" s="35"/>
      <c r="CY176" s="35"/>
    </row>
    <row r="177" spans="1:103" s="19" customFormat="1" x14ac:dyDescent="0.2">
      <c r="A177" s="58">
        <v>164</v>
      </c>
      <c r="B177" s="14" t="s">
        <v>1429</v>
      </c>
      <c r="C177" s="14" t="s">
        <v>79</v>
      </c>
      <c r="D177" s="16" t="s">
        <v>1300</v>
      </c>
      <c r="E177" s="15"/>
      <c r="F177" s="15">
        <v>2024</v>
      </c>
      <c r="G177" s="16" t="s">
        <v>1302</v>
      </c>
      <c r="H177" s="16"/>
      <c r="I177" s="15" t="s">
        <v>8</v>
      </c>
      <c r="J177" s="15" t="s">
        <v>1303</v>
      </c>
      <c r="K177" s="15" t="s">
        <v>366</v>
      </c>
      <c r="L177" s="15" t="s">
        <v>32</v>
      </c>
      <c r="M177" s="15" t="s">
        <v>25</v>
      </c>
      <c r="N177" s="15" t="s">
        <v>201</v>
      </c>
      <c r="O177" s="15" t="s">
        <v>404</v>
      </c>
      <c r="P177" s="31" t="s">
        <v>333</v>
      </c>
      <c r="Q177" s="16" t="s">
        <v>313</v>
      </c>
      <c r="R177" s="16" t="s">
        <v>1311</v>
      </c>
      <c r="S177" s="15" t="s">
        <v>54</v>
      </c>
      <c r="T177" s="15" t="s">
        <v>903</v>
      </c>
      <c r="U177" s="15">
        <v>7</v>
      </c>
      <c r="V177" s="57">
        <f t="shared" si="18"/>
        <v>7</v>
      </c>
      <c r="W177" s="57" t="str">
        <f t="shared" si="24"/>
        <v>L</v>
      </c>
      <c r="X177" s="15" t="s">
        <v>16</v>
      </c>
      <c r="Y177" s="15" t="s">
        <v>14</v>
      </c>
      <c r="Z177" s="15" t="s">
        <v>282</v>
      </c>
      <c r="AA177" s="15"/>
      <c r="AB177" s="15">
        <v>7</v>
      </c>
      <c r="AC177" s="15">
        <f t="shared" si="19"/>
        <v>7</v>
      </c>
      <c r="AD177" s="15" t="str">
        <f t="shared" si="20"/>
        <v>L</v>
      </c>
      <c r="AE177" s="15"/>
      <c r="AF177" s="15"/>
      <c r="AG177" s="17">
        <v>278</v>
      </c>
      <c r="AH177" s="17">
        <v>139</v>
      </c>
      <c r="AI177" s="17"/>
      <c r="AJ177" s="17"/>
      <c r="AK177" s="17"/>
      <c r="AL177" s="47">
        <v>134</v>
      </c>
      <c r="AM177" s="17">
        <v>43</v>
      </c>
      <c r="AN177" s="47">
        <f>+AL177-AM177</f>
        <v>91</v>
      </c>
      <c r="AO177" s="47"/>
      <c r="AP177" s="17"/>
      <c r="AQ177" s="17"/>
      <c r="AR177" s="17"/>
      <c r="AS177" s="17"/>
      <c r="AT177" s="17"/>
      <c r="AU177" s="17">
        <v>58</v>
      </c>
      <c r="AV177" s="17"/>
      <c r="AW177" s="17">
        <v>46</v>
      </c>
      <c r="AX177" s="17"/>
      <c r="AY177" s="17"/>
      <c r="AZ177" s="17">
        <v>11</v>
      </c>
      <c r="BA177" s="17">
        <v>139</v>
      </c>
      <c r="BB177" s="17"/>
      <c r="BC177" s="17"/>
      <c r="BD177" s="17"/>
      <c r="BE177" s="47">
        <v>133</v>
      </c>
      <c r="BF177" s="17">
        <v>23</v>
      </c>
      <c r="BG177" s="47">
        <f>+BE177-BF177</f>
        <v>110</v>
      </c>
      <c r="BH177" s="17"/>
      <c r="BI177" s="17"/>
      <c r="BJ177" s="17"/>
      <c r="BK177" s="17"/>
      <c r="BL177" s="17"/>
      <c r="BM177" s="17"/>
      <c r="BN177" s="17">
        <v>70</v>
      </c>
      <c r="BO177" s="17"/>
      <c r="BP177" s="17">
        <v>50</v>
      </c>
      <c r="BQ177" s="17"/>
      <c r="BR177" s="17"/>
      <c r="BS177" s="17">
        <v>20</v>
      </c>
      <c r="BT177" s="17"/>
      <c r="BU177" s="17"/>
      <c r="BV177" s="17"/>
      <c r="BW177" s="17"/>
      <c r="BX177" s="17"/>
      <c r="BY177" s="17"/>
      <c r="BZ177" s="17"/>
      <c r="CA177" s="17"/>
      <c r="CB177" s="17"/>
      <c r="CC177" s="17"/>
      <c r="CD177" s="17"/>
      <c r="CE177" s="17"/>
      <c r="CF177" s="17"/>
      <c r="CG177" s="17"/>
      <c r="CH177" s="17"/>
      <c r="CI177" s="17"/>
      <c r="CJ177" s="17"/>
      <c r="CK177" s="17"/>
      <c r="CL177" s="17"/>
      <c r="CM177" s="17"/>
      <c r="CN177" s="18"/>
      <c r="CO177" s="18"/>
      <c r="CP177" s="18"/>
      <c r="CQ177" s="18"/>
      <c r="CR177" s="18"/>
      <c r="CS177" s="18"/>
      <c r="CT177" s="18"/>
      <c r="CU177" s="18"/>
      <c r="CV177" s="18"/>
      <c r="CW177" s="18"/>
      <c r="CX177" s="18"/>
      <c r="CY177" s="18"/>
    </row>
    <row r="178" spans="1:103" s="19" customFormat="1" x14ac:dyDescent="0.2">
      <c r="A178" s="58">
        <v>165</v>
      </c>
      <c r="B178" s="14" t="s">
        <v>1429</v>
      </c>
      <c r="C178" s="14" t="s">
        <v>79</v>
      </c>
      <c r="D178" s="15" t="s">
        <v>133</v>
      </c>
      <c r="E178" s="15"/>
      <c r="F178" s="15">
        <v>1996</v>
      </c>
      <c r="G178" s="16" t="s">
        <v>229</v>
      </c>
      <c r="H178" s="16"/>
      <c r="I178" s="15" t="s">
        <v>8</v>
      </c>
      <c r="J178" s="15" t="s">
        <v>66</v>
      </c>
      <c r="K178" s="15" t="s">
        <v>366</v>
      </c>
      <c r="L178" s="15" t="s">
        <v>31</v>
      </c>
      <c r="M178" s="15" t="s">
        <v>25</v>
      </c>
      <c r="N178" s="15" t="s">
        <v>201</v>
      </c>
      <c r="O178" s="15" t="s">
        <v>404</v>
      </c>
      <c r="P178" s="15"/>
      <c r="Q178" s="16" t="s">
        <v>313</v>
      </c>
      <c r="R178" s="16" t="s">
        <v>1314</v>
      </c>
      <c r="S178" s="15" t="s">
        <v>137</v>
      </c>
      <c r="T178" s="15" t="s">
        <v>866</v>
      </c>
      <c r="U178" s="15">
        <v>10</v>
      </c>
      <c r="V178" s="57">
        <f t="shared" si="18"/>
        <v>10</v>
      </c>
      <c r="W178" s="57" t="str">
        <f t="shared" si="24"/>
        <v>L</v>
      </c>
      <c r="X178" s="15" t="s">
        <v>13</v>
      </c>
      <c r="Y178" s="15" t="s">
        <v>14</v>
      </c>
      <c r="Z178" s="15" t="s">
        <v>227</v>
      </c>
      <c r="AA178" s="15" t="s">
        <v>1313</v>
      </c>
      <c r="AB178" s="15">
        <v>10</v>
      </c>
      <c r="AC178" s="15">
        <f t="shared" si="19"/>
        <v>10</v>
      </c>
      <c r="AD178" s="15" t="str">
        <f t="shared" si="20"/>
        <v>L</v>
      </c>
      <c r="AE178" s="15" t="s">
        <v>131</v>
      </c>
      <c r="AF178" s="15" t="s">
        <v>388</v>
      </c>
      <c r="AG178" s="17">
        <f>110+101</f>
        <v>211</v>
      </c>
      <c r="AH178" s="17">
        <v>110</v>
      </c>
      <c r="AI178" s="17">
        <v>110</v>
      </c>
      <c r="AJ178" s="17">
        <v>88</v>
      </c>
      <c r="AK178" s="17">
        <f>+AI178-AJ178</f>
        <v>22</v>
      </c>
      <c r="AL178" s="47">
        <v>86</v>
      </c>
      <c r="AM178" s="17">
        <v>79</v>
      </c>
      <c r="AN178" s="47">
        <v>7</v>
      </c>
      <c r="AO178" s="47"/>
      <c r="AP178" s="17"/>
      <c r="AQ178" s="17"/>
      <c r="AR178" s="17"/>
      <c r="AS178" s="17">
        <v>48</v>
      </c>
      <c r="AT178" s="17"/>
      <c r="AU178" s="47">
        <f>110*0.09</f>
        <v>9.9</v>
      </c>
      <c r="AV178" s="17"/>
      <c r="AW178" s="17"/>
      <c r="AX178" s="17"/>
      <c r="AY178" s="17"/>
      <c r="AZ178" s="17"/>
      <c r="BA178" s="17">
        <v>101</v>
      </c>
      <c r="BB178" s="17">
        <v>101</v>
      </c>
      <c r="BC178" s="17">
        <v>75</v>
      </c>
      <c r="BD178" s="17">
        <v>26</v>
      </c>
      <c r="BE178" s="47">
        <v>81</v>
      </c>
      <c r="BF178" s="17">
        <v>66</v>
      </c>
      <c r="BG178" s="47">
        <f>+BE178-BF178</f>
        <v>15</v>
      </c>
      <c r="BH178" s="17"/>
      <c r="BI178" s="17"/>
      <c r="BJ178" s="17"/>
      <c r="BK178" s="17"/>
      <c r="BL178" s="17">
        <v>57</v>
      </c>
      <c r="BM178" s="17"/>
      <c r="BN178" s="47">
        <f>101*0.07</f>
        <v>7.07</v>
      </c>
      <c r="BO178" s="17"/>
      <c r="BP178" s="17"/>
      <c r="BQ178" s="17"/>
      <c r="BR178" s="17"/>
      <c r="BS178" s="17"/>
      <c r="BT178" s="17">
        <f>48+42</f>
        <v>90</v>
      </c>
      <c r="BU178" s="17">
        <f>19+15</f>
        <v>34</v>
      </c>
      <c r="BV178" s="17">
        <v>14</v>
      </c>
      <c r="BW178" s="17"/>
      <c r="BX178" s="17">
        <v>3</v>
      </c>
      <c r="BY178" s="17">
        <v>8</v>
      </c>
      <c r="BZ178" s="17">
        <f>5+6+4+3+1</f>
        <v>19</v>
      </c>
      <c r="CA178" s="17">
        <v>0</v>
      </c>
      <c r="CB178" s="17">
        <v>5</v>
      </c>
      <c r="CC178" s="17"/>
      <c r="CD178" s="17"/>
      <c r="CE178" s="17"/>
      <c r="CF178" s="17"/>
      <c r="CG178" s="17"/>
      <c r="CH178" s="17"/>
      <c r="CI178" s="17"/>
      <c r="CJ178" s="17"/>
      <c r="CK178" s="17"/>
      <c r="CL178" s="17"/>
      <c r="CM178" s="17"/>
      <c r="CN178" s="18"/>
      <c r="CO178" s="18"/>
      <c r="CP178" s="18"/>
      <c r="CQ178" s="18"/>
      <c r="CR178" s="18"/>
      <c r="CS178" s="18"/>
      <c r="CT178" s="18"/>
      <c r="CU178" s="18"/>
      <c r="CV178" s="18"/>
      <c r="CW178" s="18"/>
      <c r="CX178" s="18"/>
      <c r="CY178" s="18"/>
    </row>
    <row r="179" spans="1:103" s="19" customFormat="1" x14ac:dyDescent="0.2">
      <c r="A179" s="58">
        <v>166</v>
      </c>
      <c r="B179" s="14" t="s">
        <v>1429</v>
      </c>
      <c r="C179" s="14" t="s">
        <v>79</v>
      </c>
      <c r="D179" s="15" t="s">
        <v>176</v>
      </c>
      <c r="E179" s="15"/>
      <c r="F179" s="15">
        <v>1997</v>
      </c>
      <c r="G179" s="16" t="s">
        <v>1310</v>
      </c>
      <c r="H179" s="24" t="s">
        <v>1312</v>
      </c>
      <c r="I179" s="15" t="s">
        <v>8</v>
      </c>
      <c r="J179" s="16" t="s">
        <v>1316</v>
      </c>
      <c r="K179" s="16" t="s">
        <v>1473</v>
      </c>
      <c r="L179" s="15" t="s">
        <v>68</v>
      </c>
      <c r="M179" s="15" t="s">
        <v>25</v>
      </c>
      <c r="N179" s="15" t="s">
        <v>201</v>
      </c>
      <c r="O179" s="15" t="s">
        <v>404</v>
      </c>
      <c r="P179" s="31" t="s">
        <v>333</v>
      </c>
      <c r="Q179" s="16" t="s">
        <v>313</v>
      </c>
      <c r="R179" s="16" t="s">
        <v>1317</v>
      </c>
      <c r="S179" s="15" t="s">
        <v>54</v>
      </c>
      <c r="T179" s="15" t="s">
        <v>903</v>
      </c>
      <c r="U179" s="15">
        <v>10</v>
      </c>
      <c r="V179" s="57">
        <f t="shared" si="18"/>
        <v>10</v>
      </c>
      <c r="W179" s="57" t="str">
        <f t="shared" si="24"/>
        <v>L</v>
      </c>
      <c r="X179" s="15" t="s">
        <v>16</v>
      </c>
      <c r="Y179" s="15" t="s">
        <v>14</v>
      </c>
      <c r="Z179" s="15" t="s">
        <v>231</v>
      </c>
      <c r="AA179" s="16" t="s">
        <v>1315</v>
      </c>
      <c r="AB179" s="15">
        <v>10</v>
      </c>
      <c r="AC179" s="15">
        <f t="shared" si="19"/>
        <v>10</v>
      </c>
      <c r="AD179" s="15" t="str">
        <f t="shared" si="20"/>
        <v>L</v>
      </c>
      <c r="AE179" s="16" t="s">
        <v>507</v>
      </c>
      <c r="AF179" s="15" t="s">
        <v>14</v>
      </c>
      <c r="AG179" s="17">
        <v>235</v>
      </c>
      <c r="AH179" s="17">
        <v>169</v>
      </c>
      <c r="AI179" s="17">
        <v>118</v>
      </c>
      <c r="AJ179" s="17">
        <v>86</v>
      </c>
      <c r="AK179" s="17">
        <f>+AI179-AJ179</f>
        <v>32</v>
      </c>
      <c r="AL179" s="47">
        <v>88</v>
      </c>
      <c r="AM179" s="17">
        <v>82</v>
      </c>
      <c r="AN179" s="47">
        <v>6</v>
      </c>
      <c r="AO179" s="47">
        <v>36</v>
      </c>
      <c r="AP179" s="17">
        <v>26</v>
      </c>
      <c r="AQ179" s="17">
        <v>10</v>
      </c>
      <c r="AR179" s="17"/>
      <c r="AS179" s="17">
        <v>77</v>
      </c>
      <c r="AT179" s="17">
        <v>58</v>
      </c>
      <c r="AU179" s="17">
        <v>10</v>
      </c>
      <c r="AV179" s="17"/>
      <c r="AW179" s="17">
        <v>5</v>
      </c>
      <c r="AX179" s="17"/>
      <c r="AY179" s="17"/>
      <c r="AZ179" s="17"/>
      <c r="BA179" s="17">
        <v>117</v>
      </c>
      <c r="BB179" s="17">
        <v>117</v>
      </c>
      <c r="BC179" s="17">
        <v>79</v>
      </c>
      <c r="BD179" s="17">
        <v>38</v>
      </c>
      <c r="BE179" s="47">
        <v>81</v>
      </c>
      <c r="BF179" s="17">
        <v>73</v>
      </c>
      <c r="BG179" s="47">
        <f>+BE179-BF179</f>
        <v>8</v>
      </c>
      <c r="BH179" s="17">
        <v>32</v>
      </c>
      <c r="BI179" s="17">
        <v>25</v>
      </c>
      <c r="BJ179" s="17">
        <v>7</v>
      </c>
      <c r="BK179" s="17"/>
      <c r="BL179" s="17">
        <v>91</v>
      </c>
      <c r="BM179" s="17">
        <v>76</v>
      </c>
      <c r="BN179" s="17">
        <v>13</v>
      </c>
      <c r="BO179" s="17"/>
      <c r="BP179" s="17">
        <v>4</v>
      </c>
      <c r="BQ179" s="17"/>
      <c r="BR179" s="17"/>
      <c r="BS179" s="17"/>
      <c r="BT179" s="17">
        <f>15+13+6+2+10+10+2+3+5+16</f>
        <v>82</v>
      </c>
      <c r="BU179" s="17">
        <f>15+16</f>
        <v>31</v>
      </c>
      <c r="BV179" s="17">
        <f>13+5</f>
        <v>18</v>
      </c>
      <c r="BW179" s="17">
        <v>3</v>
      </c>
      <c r="BX179" s="17">
        <v>2</v>
      </c>
      <c r="BY179" s="17">
        <v>4</v>
      </c>
      <c r="BZ179" s="17"/>
      <c r="CA179" s="17"/>
      <c r="CB179" s="17"/>
      <c r="CC179" s="17"/>
      <c r="CD179" s="17"/>
      <c r="CE179" s="17"/>
      <c r="CF179" s="17"/>
      <c r="CG179" s="17"/>
      <c r="CH179" s="17"/>
      <c r="CI179" s="17"/>
      <c r="CJ179" s="17"/>
      <c r="CK179" s="17"/>
      <c r="CL179" s="17"/>
      <c r="CM179" s="17"/>
      <c r="CN179" s="18"/>
      <c r="CO179" s="18"/>
      <c r="CP179" s="18"/>
      <c r="CQ179" s="18"/>
      <c r="CR179" s="18"/>
      <c r="CS179" s="18"/>
      <c r="CT179" s="18"/>
      <c r="CU179" s="18"/>
      <c r="CV179" s="18"/>
      <c r="CW179" s="18"/>
      <c r="CX179" s="18"/>
      <c r="CY179" s="18"/>
    </row>
    <row r="180" spans="1:103" s="19" customFormat="1" x14ac:dyDescent="0.2">
      <c r="A180" s="58">
        <v>167</v>
      </c>
      <c r="B180" s="14" t="s">
        <v>1429</v>
      </c>
      <c r="C180" s="14" t="s">
        <v>79</v>
      </c>
      <c r="D180" s="15" t="s">
        <v>230</v>
      </c>
      <c r="E180" s="15"/>
      <c r="F180" s="15">
        <v>2000</v>
      </c>
      <c r="G180" s="16" t="s">
        <v>1309</v>
      </c>
      <c r="H180" s="16"/>
      <c r="I180" s="15" t="s">
        <v>8</v>
      </c>
      <c r="J180" s="15" t="s">
        <v>35</v>
      </c>
      <c r="K180" s="15" t="s">
        <v>1472</v>
      </c>
      <c r="L180" s="15" t="s">
        <v>68</v>
      </c>
      <c r="M180" s="15" t="s">
        <v>25</v>
      </c>
      <c r="N180" s="15" t="s">
        <v>201</v>
      </c>
      <c r="O180" s="15" t="s">
        <v>404</v>
      </c>
      <c r="P180" s="31" t="s">
        <v>333</v>
      </c>
      <c r="Q180" s="16" t="s">
        <v>313</v>
      </c>
      <c r="R180" s="16" t="s">
        <v>1320</v>
      </c>
      <c r="S180" s="15" t="s">
        <v>50</v>
      </c>
      <c r="T180" s="16" t="s">
        <v>1318</v>
      </c>
      <c r="U180" s="15" t="s">
        <v>548</v>
      </c>
      <c r="V180" s="57">
        <v>7</v>
      </c>
      <c r="W180" s="57" t="str">
        <f t="shared" si="24"/>
        <v>L</v>
      </c>
      <c r="X180" s="15" t="s">
        <v>16</v>
      </c>
      <c r="Y180" s="15" t="s">
        <v>14</v>
      </c>
      <c r="Z180" s="15" t="s">
        <v>231</v>
      </c>
      <c r="AA180" s="16" t="s">
        <v>1319</v>
      </c>
      <c r="AB180" s="15" t="s">
        <v>548</v>
      </c>
      <c r="AC180" s="15">
        <v>10</v>
      </c>
      <c r="AD180" s="15" t="str">
        <f t="shared" si="20"/>
        <v>L</v>
      </c>
      <c r="AE180" s="16" t="s">
        <v>507</v>
      </c>
      <c r="AF180" s="15" t="s">
        <v>14</v>
      </c>
      <c r="AG180" s="17">
        <v>169</v>
      </c>
      <c r="AH180" s="17">
        <v>83</v>
      </c>
      <c r="AI180" s="17">
        <v>83</v>
      </c>
      <c r="AJ180" s="17">
        <v>62</v>
      </c>
      <c r="AK180" s="17">
        <f>+AI180-AJ180</f>
        <v>21</v>
      </c>
      <c r="AL180" s="47">
        <v>67</v>
      </c>
      <c r="AM180" s="17">
        <v>61</v>
      </c>
      <c r="AN180" s="47">
        <v>6</v>
      </c>
      <c r="AO180" s="47">
        <v>67</v>
      </c>
      <c r="AP180" s="17">
        <v>61</v>
      </c>
      <c r="AQ180" s="17">
        <v>6</v>
      </c>
      <c r="AR180" s="17"/>
      <c r="AS180" s="17">
        <v>12</v>
      </c>
      <c r="AT180" s="17">
        <v>8</v>
      </c>
      <c r="AU180" s="17"/>
      <c r="AV180" s="17"/>
      <c r="AW180" s="17">
        <v>3</v>
      </c>
      <c r="AX180" s="17"/>
      <c r="AY180" s="17"/>
      <c r="AZ180" s="17"/>
      <c r="BA180" s="17">
        <v>86</v>
      </c>
      <c r="BB180" s="17">
        <v>86</v>
      </c>
      <c r="BC180" s="17">
        <v>71</v>
      </c>
      <c r="BD180" s="17">
        <v>15</v>
      </c>
      <c r="BE180" s="47">
        <v>78</v>
      </c>
      <c r="BF180" s="17">
        <v>71</v>
      </c>
      <c r="BG180" s="47">
        <v>7</v>
      </c>
      <c r="BH180" s="17"/>
      <c r="BI180" s="17"/>
      <c r="BJ180" s="17"/>
      <c r="BK180" s="17"/>
      <c r="BL180" s="17">
        <v>49</v>
      </c>
      <c r="BM180" s="17">
        <v>38</v>
      </c>
      <c r="BN180" s="17"/>
      <c r="BO180" s="17"/>
      <c r="BP180" s="17">
        <v>1</v>
      </c>
      <c r="BQ180" s="17"/>
      <c r="BR180" s="17"/>
      <c r="BS180" s="17"/>
      <c r="BT180" s="17">
        <f>7+7+3+12</f>
        <v>29</v>
      </c>
      <c r="BU180" s="17">
        <v>7</v>
      </c>
      <c r="BV180" s="17">
        <v>1</v>
      </c>
      <c r="BW180" s="17"/>
      <c r="BX180" s="17"/>
      <c r="BY180" s="17"/>
      <c r="BZ180" s="17">
        <f>12+2+7</f>
        <v>21</v>
      </c>
      <c r="CA180" s="17"/>
      <c r="CB180" s="17"/>
      <c r="CC180" s="17"/>
      <c r="CD180" s="17"/>
      <c r="CE180" s="17"/>
      <c r="CF180" s="17"/>
      <c r="CG180" s="17"/>
      <c r="CH180" s="17"/>
      <c r="CI180" s="17"/>
      <c r="CJ180" s="17"/>
      <c r="CK180" s="17"/>
      <c r="CL180" s="17"/>
      <c r="CM180" s="17"/>
      <c r="CN180" s="18"/>
      <c r="CO180" s="18"/>
      <c r="CP180" s="18"/>
      <c r="CQ180" s="18"/>
      <c r="CR180" s="18"/>
      <c r="CS180" s="18"/>
      <c r="CT180" s="18"/>
      <c r="CU180" s="18"/>
      <c r="CV180" s="18"/>
      <c r="CW180" s="18"/>
      <c r="CX180" s="18"/>
      <c r="CY180" s="18"/>
    </row>
    <row r="181" spans="1:103" s="29" customFormat="1" x14ac:dyDescent="0.2">
      <c r="A181" s="58">
        <v>168</v>
      </c>
      <c r="B181" s="14" t="s">
        <v>1429</v>
      </c>
      <c r="C181" s="30" t="s">
        <v>79</v>
      </c>
      <c r="D181" s="31" t="s">
        <v>237</v>
      </c>
      <c r="E181" s="31"/>
      <c r="F181" s="31">
        <v>1994</v>
      </c>
      <c r="G181" s="32" t="s">
        <v>236</v>
      </c>
      <c r="H181" s="41" t="s">
        <v>239</v>
      </c>
      <c r="I181" s="31" t="s">
        <v>8</v>
      </c>
      <c r="J181" s="32" t="s">
        <v>66</v>
      </c>
      <c r="K181" s="32" t="s">
        <v>366</v>
      </c>
      <c r="L181" s="15" t="s">
        <v>68</v>
      </c>
      <c r="M181" s="15" t="s">
        <v>25</v>
      </c>
      <c r="N181" s="31" t="s">
        <v>201</v>
      </c>
      <c r="O181" s="31" t="s">
        <v>404</v>
      </c>
      <c r="P181" s="31" t="s">
        <v>167</v>
      </c>
      <c r="Q181" s="32" t="s">
        <v>313</v>
      </c>
      <c r="R181" s="32" t="s">
        <v>1333</v>
      </c>
      <c r="S181" s="31" t="s">
        <v>238</v>
      </c>
      <c r="T181" s="32" t="s">
        <v>1331</v>
      </c>
      <c r="U181" s="31" t="s">
        <v>1334</v>
      </c>
      <c r="V181" s="57">
        <v>13</v>
      </c>
      <c r="W181" s="57" t="str">
        <f t="shared" si="24"/>
        <v>L</v>
      </c>
      <c r="X181" s="32" t="s">
        <v>1330</v>
      </c>
      <c r="Y181" s="31" t="s">
        <v>753</v>
      </c>
      <c r="Z181" s="31" t="s">
        <v>1329</v>
      </c>
      <c r="AA181" s="32" t="s">
        <v>1332</v>
      </c>
      <c r="AB181" s="31" t="s">
        <v>1334</v>
      </c>
      <c r="AC181" s="15">
        <v>13</v>
      </c>
      <c r="AD181" s="15" t="str">
        <f t="shared" si="20"/>
        <v>L</v>
      </c>
      <c r="AE181" s="32" t="s">
        <v>530</v>
      </c>
      <c r="AF181" s="31" t="s">
        <v>753</v>
      </c>
      <c r="AG181" s="33">
        <v>117</v>
      </c>
      <c r="AH181" s="33">
        <v>58</v>
      </c>
      <c r="AI181" s="33"/>
      <c r="AJ181" s="33"/>
      <c r="AK181" s="33"/>
      <c r="AL181" s="44">
        <v>52</v>
      </c>
      <c r="AM181" s="33">
        <v>40</v>
      </c>
      <c r="AN181" s="44">
        <v>12</v>
      </c>
      <c r="AO181" s="44"/>
      <c r="AP181" s="33"/>
      <c r="AQ181" s="33"/>
      <c r="AR181" s="33">
        <v>0</v>
      </c>
      <c r="AS181" s="33">
        <v>4</v>
      </c>
      <c r="AT181" s="33"/>
      <c r="AU181" s="33"/>
      <c r="AV181" s="33"/>
      <c r="AW181" s="33">
        <v>6</v>
      </c>
      <c r="AX181" s="33"/>
      <c r="AY181" s="33"/>
      <c r="AZ181" s="33"/>
      <c r="BA181" s="33">
        <v>59</v>
      </c>
      <c r="BB181" s="33"/>
      <c r="BC181" s="33"/>
      <c r="BD181" s="33"/>
      <c r="BE181" s="44">
        <f>38/0.76</f>
        <v>50</v>
      </c>
      <c r="BF181" s="33">
        <v>38</v>
      </c>
      <c r="BG181" s="44">
        <v>12</v>
      </c>
      <c r="BH181" s="33"/>
      <c r="BI181" s="33"/>
      <c r="BJ181" s="33"/>
      <c r="BK181" s="33">
        <v>2</v>
      </c>
      <c r="BL181" s="33">
        <v>19</v>
      </c>
      <c r="BM181" s="33"/>
      <c r="BN181" s="33"/>
      <c r="BO181" s="33"/>
      <c r="BP181" s="33">
        <v>6</v>
      </c>
      <c r="BQ181" s="33"/>
      <c r="BR181" s="33"/>
      <c r="BS181" s="33"/>
      <c r="BT181" s="33">
        <v>64</v>
      </c>
      <c r="BU181" s="33">
        <v>35</v>
      </c>
      <c r="BV181" s="33">
        <v>6</v>
      </c>
      <c r="BW181" s="33"/>
      <c r="BX181" s="33">
        <v>2</v>
      </c>
      <c r="BY181" s="33">
        <v>9</v>
      </c>
      <c r="BZ181" s="33">
        <v>2</v>
      </c>
      <c r="CA181" s="33"/>
      <c r="CB181" s="33"/>
      <c r="CC181" s="33"/>
      <c r="CD181" s="33"/>
      <c r="CE181" s="33"/>
      <c r="CF181" s="33"/>
      <c r="CG181" s="33"/>
      <c r="CH181" s="33"/>
      <c r="CI181" s="33"/>
      <c r="CJ181" s="33"/>
      <c r="CK181" s="33"/>
      <c r="CL181" s="33"/>
      <c r="CM181" s="33"/>
      <c r="CN181" s="35"/>
      <c r="CO181" s="35"/>
      <c r="CP181" s="35"/>
      <c r="CQ181" s="35"/>
      <c r="CR181" s="35"/>
      <c r="CS181" s="35"/>
      <c r="CT181" s="35"/>
      <c r="CU181" s="35"/>
      <c r="CV181" s="35"/>
      <c r="CW181" s="35"/>
      <c r="CX181" s="35"/>
      <c r="CY181" s="35"/>
    </row>
    <row r="182" spans="1:103" s="36" customFormat="1" x14ac:dyDescent="0.2">
      <c r="A182" s="58">
        <v>169</v>
      </c>
      <c r="B182" s="14" t="s">
        <v>1429</v>
      </c>
      <c r="C182" s="30" t="s">
        <v>79</v>
      </c>
      <c r="D182" s="31" t="s">
        <v>1335</v>
      </c>
      <c r="E182" s="31"/>
      <c r="F182" s="31">
        <v>1996</v>
      </c>
      <c r="G182" s="32" t="s">
        <v>1328</v>
      </c>
      <c r="H182" s="32"/>
      <c r="I182" s="31" t="s">
        <v>8</v>
      </c>
      <c r="J182" s="31" t="s">
        <v>1337</v>
      </c>
      <c r="K182" s="31" t="s">
        <v>366</v>
      </c>
      <c r="L182" s="31" t="s">
        <v>31</v>
      </c>
      <c r="M182" s="31" t="s">
        <v>333</v>
      </c>
      <c r="N182" s="31" t="s">
        <v>201</v>
      </c>
      <c r="O182" s="31" t="s">
        <v>404</v>
      </c>
      <c r="P182" s="31" t="s">
        <v>167</v>
      </c>
      <c r="Q182" s="32" t="s">
        <v>313</v>
      </c>
      <c r="R182" s="32"/>
      <c r="S182" s="31" t="s">
        <v>137</v>
      </c>
      <c r="T182" s="31" t="s">
        <v>866</v>
      </c>
      <c r="U182" s="31" t="s">
        <v>845</v>
      </c>
      <c r="V182" s="57">
        <v>10</v>
      </c>
      <c r="W182" s="57" t="str">
        <f t="shared" si="24"/>
        <v>L</v>
      </c>
      <c r="X182" s="31" t="s">
        <v>13</v>
      </c>
      <c r="Y182" s="31" t="s">
        <v>14</v>
      </c>
      <c r="Z182" s="31" t="s">
        <v>61</v>
      </c>
      <c r="AA182" s="31" t="s">
        <v>1185</v>
      </c>
      <c r="AB182" s="31" t="s">
        <v>845</v>
      </c>
      <c r="AC182" s="15">
        <v>12</v>
      </c>
      <c r="AD182" s="15" t="str">
        <f t="shared" si="20"/>
        <v>L</v>
      </c>
      <c r="AE182" s="31" t="s">
        <v>16</v>
      </c>
      <c r="AF182" s="31" t="s">
        <v>14</v>
      </c>
      <c r="AG182" s="33">
        <v>304</v>
      </c>
      <c r="AH182" s="33">
        <v>154</v>
      </c>
      <c r="AI182" s="33">
        <v>154</v>
      </c>
      <c r="AJ182" s="33">
        <v>25</v>
      </c>
      <c r="AK182" s="33">
        <f>+AI182-AJ182</f>
        <v>129</v>
      </c>
      <c r="AL182" s="44">
        <f>124+7</f>
        <v>131</v>
      </c>
      <c r="AM182" s="33">
        <v>7</v>
      </c>
      <c r="AN182" s="44">
        <f>+AL182-AM182</f>
        <v>124</v>
      </c>
      <c r="AO182" s="44">
        <v>73</v>
      </c>
      <c r="AP182" s="33">
        <v>69</v>
      </c>
      <c r="AQ182" s="33">
        <v>4</v>
      </c>
      <c r="AR182" s="33"/>
      <c r="AS182" s="33">
        <v>78</v>
      </c>
      <c r="AT182" s="33">
        <v>54</v>
      </c>
      <c r="AU182" s="33"/>
      <c r="AV182" s="33"/>
      <c r="AW182" s="33">
        <v>1</v>
      </c>
      <c r="AX182" s="33"/>
      <c r="AY182" s="33"/>
      <c r="AZ182" s="33"/>
      <c r="BA182" s="33">
        <v>150</v>
      </c>
      <c r="BB182" s="33">
        <v>149</v>
      </c>
      <c r="BC182" s="33">
        <v>38</v>
      </c>
      <c r="BD182" s="33">
        <v>111</v>
      </c>
      <c r="BE182" s="44">
        <f>106+27</f>
        <v>133</v>
      </c>
      <c r="BF182" s="33">
        <v>27</v>
      </c>
      <c r="BG182" s="44">
        <f>+BE182-BF182</f>
        <v>106</v>
      </c>
      <c r="BH182" s="33">
        <v>83</v>
      </c>
      <c r="BI182" s="33">
        <v>66</v>
      </c>
      <c r="BJ182" s="33">
        <f>+BH182-BI182</f>
        <v>17</v>
      </c>
      <c r="BK182" s="33"/>
      <c r="BL182" s="33">
        <v>68</v>
      </c>
      <c r="BM182" s="33">
        <v>52</v>
      </c>
      <c r="BN182" s="33"/>
      <c r="BO182" s="33"/>
      <c r="BP182" s="33">
        <v>1</v>
      </c>
      <c r="BQ182" s="33"/>
      <c r="BR182" s="33"/>
      <c r="BS182" s="33"/>
      <c r="BT182" s="33">
        <f>73+83</f>
        <v>156</v>
      </c>
      <c r="BU182" s="33">
        <f>26+15</f>
        <v>41</v>
      </c>
      <c r="BV182" s="33">
        <v>3</v>
      </c>
      <c r="BW182" s="33"/>
      <c r="BX182" s="33"/>
      <c r="BY182" s="33"/>
      <c r="BZ182" s="33">
        <f>15+12+12+18</f>
        <v>57</v>
      </c>
      <c r="CA182" s="33"/>
      <c r="CB182" s="33"/>
      <c r="CC182" s="33"/>
      <c r="CD182" s="33"/>
      <c r="CE182" s="33"/>
      <c r="CF182" s="33"/>
      <c r="CG182" s="33"/>
      <c r="CH182" s="33"/>
      <c r="CI182" s="33"/>
      <c r="CJ182" s="33"/>
      <c r="CK182" s="33"/>
      <c r="CL182" s="33"/>
      <c r="CM182" s="33"/>
      <c r="CN182" s="35"/>
      <c r="CO182" s="35"/>
      <c r="CP182" s="35"/>
      <c r="CQ182" s="35"/>
      <c r="CR182" s="35"/>
      <c r="CS182" s="35"/>
      <c r="CT182" s="35"/>
      <c r="CU182" s="35"/>
      <c r="CV182" s="35"/>
      <c r="CW182" s="35"/>
      <c r="CX182" s="35"/>
      <c r="CY182" s="35"/>
    </row>
    <row r="183" spans="1:103" s="36" customFormat="1" x14ac:dyDescent="0.2">
      <c r="A183" s="58">
        <v>170</v>
      </c>
      <c r="B183" s="14" t="s">
        <v>1429</v>
      </c>
      <c r="C183" s="30" t="s">
        <v>79</v>
      </c>
      <c r="D183" s="31" t="s">
        <v>233</v>
      </c>
      <c r="E183" s="31"/>
      <c r="F183" s="31">
        <v>1999</v>
      </c>
      <c r="G183" s="32" t="s">
        <v>234</v>
      </c>
      <c r="H183" s="32"/>
      <c r="I183" s="31" t="s">
        <v>8</v>
      </c>
      <c r="J183" s="32" t="s">
        <v>38</v>
      </c>
      <c r="K183" s="32" t="s">
        <v>1473</v>
      </c>
      <c r="L183" s="31" t="s">
        <v>31</v>
      </c>
      <c r="M183" s="31" t="s">
        <v>333</v>
      </c>
      <c r="N183" s="31" t="s">
        <v>201</v>
      </c>
      <c r="O183" s="31" t="s">
        <v>404</v>
      </c>
      <c r="P183" s="31" t="s">
        <v>285</v>
      </c>
      <c r="Q183" s="32" t="s">
        <v>446</v>
      </c>
      <c r="R183" s="32" t="s">
        <v>116</v>
      </c>
      <c r="S183" s="31" t="s">
        <v>235</v>
      </c>
      <c r="T183" s="31" t="s">
        <v>1338</v>
      </c>
      <c r="U183" s="31">
        <v>10</v>
      </c>
      <c r="V183" s="57">
        <f t="shared" si="18"/>
        <v>10</v>
      </c>
      <c r="W183" s="57" t="str">
        <f t="shared" si="24"/>
        <v>L</v>
      </c>
      <c r="X183" s="31" t="s">
        <v>13</v>
      </c>
      <c r="Y183" s="31" t="s">
        <v>14</v>
      </c>
      <c r="Z183" s="31" t="s">
        <v>54</v>
      </c>
      <c r="AA183" s="31" t="s">
        <v>903</v>
      </c>
      <c r="AB183" s="31">
        <v>10</v>
      </c>
      <c r="AC183" s="15">
        <f t="shared" si="19"/>
        <v>10</v>
      </c>
      <c r="AD183" s="15" t="str">
        <f t="shared" si="20"/>
        <v>L</v>
      </c>
      <c r="AE183" s="31" t="s">
        <v>16</v>
      </c>
      <c r="AF183" s="31" t="s">
        <v>14</v>
      </c>
      <c r="AG183" s="33">
        <v>504</v>
      </c>
      <c r="AH183" s="33">
        <v>251</v>
      </c>
      <c r="AI183" s="33">
        <v>251</v>
      </c>
      <c r="AJ183" s="33">
        <v>222</v>
      </c>
      <c r="AK183" s="33">
        <f>+AI183-AJ183</f>
        <v>29</v>
      </c>
      <c r="AL183" s="44">
        <v>163</v>
      </c>
      <c r="AM183" s="33">
        <v>155</v>
      </c>
      <c r="AN183" s="44">
        <v>8</v>
      </c>
      <c r="AO183" s="44"/>
      <c r="AP183" s="33"/>
      <c r="AQ183" s="33"/>
      <c r="AR183" s="33"/>
      <c r="AS183" s="33">
        <f>29+24+9+9+4</f>
        <v>75</v>
      </c>
      <c r="AT183" s="33"/>
      <c r="AU183" s="33">
        <v>2</v>
      </c>
      <c r="AV183" s="33"/>
      <c r="AW183" s="33">
        <v>2</v>
      </c>
      <c r="AX183" s="33"/>
      <c r="AY183" s="33"/>
      <c r="AZ183" s="33"/>
      <c r="BA183" s="33">
        <v>253</v>
      </c>
      <c r="BB183" s="33">
        <v>253</v>
      </c>
      <c r="BC183" s="33">
        <v>215</v>
      </c>
      <c r="BD183" s="33">
        <v>38</v>
      </c>
      <c r="BE183" s="44">
        <v>167</v>
      </c>
      <c r="BF183" s="33">
        <v>154</v>
      </c>
      <c r="BG183" s="44">
        <f>+BE183-BF183</f>
        <v>13</v>
      </c>
      <c r="BH183" s="33"/>
      <c r="BI183" s="33"/>
      <c r="BJ183" s="33"/>
      <c r="BK183" s="33"/>
      <c r="BL183" s="33">
        <f>24+17+12+2+8</f>
        <v>63</v>
      </c>
      <c r="BM183" s="33"/>
      <c r="BN183" s="33">
        <v>5</v>
      </c>
      <c r="BO183" s="33"/>
      <c r="BP183" s="33">
        <v>0</v>
      </c>
      <c r="BQ183" s="33"/>
      <c r="BR183" s="33"/>
      <c r="BS183" s="33"/>
      <c r="BT183" s="33">
        <v>131</v>
      </c>
      <c r="BU183" s="33">
        <f>15+18</f>
        <v>33</v>
      </c>
      <c r="BV183" s="33">
        <v>26</v>
      </c>
      <c r="BW183" s="33"/>
      <c r="BX183" s="33"/>
      <c r="BY183" s="33"/>
      <c r="BZ183" s="33">
        <v>57</v>
      </c>
      <c r="CA183" s="33">
        <v>0</v>
      </c>
      <c r="CB183" s="33">
        <v>0</v>
      </c>
      <c r="CC183" s="33"/>
      <c r="CD183" s="33"/>
      <c r="CE183" s="33"/>
      <c r="CF183" s="33"/>
      <c r="CG183" s="33"/>
      <c r="CH183" s="33"/>
      <c r="CI183" s="33"/>
      <c r="CJ183" s="33"/>
      <c r="CK183" s="33"/>
      <c r="CL183" s="33"/>
      <c r="CM183" s="33"/>
      <c r="CN183" s="35"/>
      <c r="CO183" s="35"/>
      <c r="CP183" s="35"/>
      <c r="CQ183" s="35"/>
      <c r="CR183" s="35"/>
      <c r="CS183" s="35"/>
      <c r="CT183" s="35"/>
      <c r="CU183" s="35"/>
      <c r="CV183" s="35"/>
      <c r="CW183" s="35"/>
      <c r="CX183" s="35"/>
      <c r="CY183" s="35"/>
    </row>
    <row r="184" spans="1:103" s="36" customFormat="1" x14ac:dyDescent="0.2">
      <c r="A184" s="58">
        <v>171</v>
      </c>
      <c r="B184" s="14" t="s">
        <v>1429</v>
      </c>
      <c r="C184" s="30" t="s">
        <v>79</v>
      </c>
      <c r="D184" s="31" t="s">
        <v>241</v>
      </c>
      <c r="E184" s="31"/>
      <c r="F184" s="31">
        <v>2002</v>
      </c>
      <c r="G184" s="32" t="s">
        <v>242</v>
      </c>
      <c r="H184" s="41" t="s">
        <v>243</v>
      </c>
      <c r="I184" s="31" t="s">
        <v>8</v>
      </c>
      <c r="J184" s="32" t="s">
        <v>35</v>
      </c>
      <c r="K184" s="32" t="s">
        <v>1472</v>
      </c>
      <c r="L184" s="31" t="s">
        <v>31</v>
      </c>
      <c r="M184" s="31" t="s">
        <v>11</v>
      </c>
      <c r="N184" s="31" t="s">
        <v>201</v>
      </c>
      <c r="O184" s="31" t="s">
        <v>404</v>
      </c>
      <c r="P184" s="31" t="s">
        <v>285</v>
      </c>
      <c r="Q184" s="32" t="s">
        <v>313</v>
      </c>
      <c r="R184" s="32" t="s">
        <v>1339</v>
      </c>
      <c r="S184" s="31" t="s">
        <v>54</v>
      </c>
      <c r="T184" s="31" t="s">
        <v>405</v>
      </c>
      <c r="U184" s="31">
        <v>7</v>
      </c>
      <c r="V184" s="57">
        <f t="shared" si="18"/>
        <v>7</v>
      </c>
      <c r="W184" s="57" t="str">
        <f t="shared" si="24"/>
        <v>L</v>
      </c>
      <c r="X184" s="31" t="s">
        <v>16</v>
      </c>
      <c r="Y184" s="31" t="s">
        <v>14</v>
      </c>
      <c r="Z184" s="31" t="s">
        <v>211</v>
      </c>
      <c r="AA184" s="31" t="s">
        <v>757</v>
      </c>
      <c r="AB184" s="31">
        <v>7</v>
      </c>
      <c r="AC184" s="15">
        <f t="shared" si="19"/>
        <v>7</v>
      </c>
      <c r="AD184" s="15" t="str">
        <f t="shared" si="20"/>
        <v>L</v>
      </c>
      <c r="AE184" s="31" t="s">
        <v>13</v>
      </c>
      <c r="AF184" s="31" t="s">
        <v>14</v>
      </c>
      <c r="AG184" s="33">
        <v>176</v>
      </c>
      <c r="AH184" s="33">
        <v>90</v>
      </c>
      <c r="AI184" s="33"/>
      <c r="AJ184" s="33"/>
      <c r="AK184" s="33"/>
      <c r="AL184" s="44">
        <v>85</v>
      </c>
      <c r="AM184" s="33">
        <v>74</v>
      </c>
      <c r="AN184" s="44">
        <v>11</v>
      </c>
      <c r="AO184" s="44">
        <v>95</v>
      </c>
      <c r="AP184" s="33">
        <v>85</v>
      </c>
      <c r="AQ184" s="33">
        <v>10</v>
      </c>
      <c r="AR184" s="33"/>
      <c r="AS184" s="33"/>
      <c r="AT184" s="33"/>
      <c r="AU184" s="33">
        <v>2</v>
      </c>
      <c r="AV184" s="33"/>
      <c r="AW184" s="33"/>
      <c r="AX184" s="33"/>
      <c r="AY184" s="33"/>
      <c r="AZ184" s="33"/>
      <c r="BA184" s="33">
        <v>86</v>
      </c>
      <c r="BB184" s="33"/>
      <c r="BC184" s="33"/>
      <c r="BD184" s="33"/>
      <c r="BE184" s="44">
        <v>66</v>
      </c>
      <c r="BF184" s="33">
        <v>63</v>
      </c>
      <c r="BG184" s="44">
        <v>3</v>
      </c>
      <c r="BH184" s="33">
        <v>67</v>
      </c>
      <c r="BI184" s="33">
        <v>64</v>
      </c>
      <c r="BJ184" s="33">
        <v>3</v>
      </c>
      <c r="BK184" s="33"/>
      <c r="BL184" s="33"/>
      <c r="BM184" s="33"/>
      <c r="BN184" s="33">
        <v>1</v>
      </c>
      <c r="BO184" s="33"/>
      <c r="BP184" s="33"/>
      <c r="BQ184" s="33"/>
      <c r="BR184" s="33"/>
      <c r="BS184" s="33"/>
      <c r="BT184" s="33">
        <f>95+67</f>
        <v>162</v>
      </c>
      <c r="BU184" s="33">
        <f>13+3</f>
        <v>16</v>
      </c>
      <c r="BV184" s="33">
        <f>13+9</f>
        <v>22</v>
      </c>
      <c r="BW184" s="33"/>
      <c r="BX184" s="33"/>
      <c r="BY184" s="33">
        <v>7</v>
      </c>
      <c r="BZ184" s="33">
        <f>15+16+22+18+7+7</f>
        <v>85</v>
      </c>
      <c r="CA184" s="33"/>
      <c r="CB184" s="33"/>
      <c r="CC184" s="33"/>
      <c r="CD184" s="33"/>
      <c r="CE184" s="33"/>
      <c r="CF184" s="33"/>
      <c r="CG184" s="33"/>
      <c r="CH184" s="33"/>
      <c r="CI184" s="33"/>
      <c r="CJ184" s="33"/>
      <c r="CK184" s="33"/>
      <c r="CL184" s="33"/>
      <c r="CM184" s="33"/>
      <c r="CN184" s="35"/>
      <c r="CO184" s="35"/>
      <c r="CP184" s="35"/>
      <c r="CQ184" s="35"/>
      <c r="CR184" s="35"/>
      <c r="CS184" s="35"/>
      <c r="CT184" s="35"/>
      <c r="CU184" s="35"/>
      <c r="CV184" s="35"/>
      <c r="CW184" s="35"/>
      <c r="CX184" s="35"/>
      <c r="CY184" s="35"/>
    </row>
    <row r="185" spans="1:103" s="19" customFormat="1" x14ac:dyDescent="0.2">
      <c r="A185" s="58">
        <v>172</v>
      </c>
      <c r="B185" s="14" t="s">
        <v>1429</v>
      </c>
      <c r="C185" s="14" t="s">
        <v>79</v>
      </c>
      <c r="D185" s="15" t="s">
        <v>1345</v>
      </c>
      <c r="E185" s="15"/>
      <c r="F185" s="15">
        <v>2005</v>
      </c>
      <c r="G185" s="16" t="s">
        <v>1346</v>
      </c>
      <c r="H185" s="16"/>
      <c r="I185" s="15" t="s">
        <v>8</v>
      </c>
      <c r="J185" s="15" t="s">
        <v>130</v>
      </c>
      <c r="K185" s="15" t="s">
        <v>366</v>
      </c>
      <c r="L185" s="15" t="s">
        <v>68</v>
      </c>
      <c r="M185" s="15" t="s">
        <v>333</v>
      </c>
      <c r="N185" s="15" t="s">
        <v>201</v>
      </c>
      <c r="O185" s="15" t="s">
        <v>404</v>
      </c>
      <c r="P185" s="15" t="s">
        <v>285</v>
      </c>
      <c r="Q185" s="16" t="s">
        <v>446</v>
      </c>
      <c r="R185" s="16" t="s">
        <v>1348</v>
      </c>
      <c r="S185" s="15" t="s">
        <v>33</v>
      </c>
      <c r="T185" s="15" t="s">
        <v>1347</v>
      </c>
      <c r="U185" s="15">
        <v>10</v>
      </c>
      <c r="V185" s="57">
        <f t="shared" si="18"/>
        <v>10</v>
      </c>
      <c r="W185" s="57" t="str">
        <f t="shared" si="24"/>
        <v>L</v>
      </c>
      <c r="X185" s="15" t="s">
        <v>13</v>
      </c>
      <c r="Y185" s="15" t="s">
        <v>14</v>
      </c>
      <c r="Z185" s="15" t="s">
        <v>33</v>
      </c>
      <c r="AA185" s="15" t="s">
        <v>966</v>
      </c>
      <c r="AB185" s="15">
        <v>10</v>
      </c>
      <c r="AC185" s="15">
        <f t="shared" si="19"/>
        <v>10</v>
      </c>
      <c r="AD185" s="15" t="str">
        <f t="shared" si="20"/>
        <v>L</v>
      </c>
      <c r="AE185" s="15" t="s">
        <v>13</v>
      </c>
      <c r="AF185" s="15" t="s">
        <v>14</v>
      </c>
      <c r="AG185" s="17">
        <v>224</v>
      </c>
      <c r="AH185" s="17">
        <v>110</v>
      </c>
      <c r="AI185" s="17">
        <v>110</v>
      </c>
      <c r="AJ185" s="17">
        <v>92</v>
      </c>
      <c r="AK185" s="17">
        <v>18</v>
      </c>
      <c r="AL185" s="47"/>
      <c r="AM185" s="17"/>
      <c r="AN185" s="47"/>
      <c r="AO185" s="47"/>
      <c r="AP185" s="17"/>
      <c r="AQ185" s="17"/>
      <c r="AR185" s="17"/>
      <c r="AS185" s="17">
        <v>10</v>
      </c>
      <c r="AT185" s="17"/>
      <c r="AU185" s="17"/>
      <c r="AV185" s="17"/>
      <c r="AW185" s="17">
        <v>1</v>
      </c>
      <c r="AX185" s="17"/>
      <c r="AY185" s="17"/>
      <c r="AZ185" s="17"/>
      <c r="BA185" s="17">
        <v>114</v>
      </c>
      <c r="BB185" s="17">
        <v>114</v>
      </c>
      <c r="BC185" s="17">
        <v>92</v>
      </c>
      <c r="BD185" s="17">
        <v>22</v>
      </c>
      <c r="BE185" s="47"/>
      <c r="BF185" s="17"/>
      <c r="BG185" s="47"/>
      <c r="BH185" s="17"/>
      <c r="BI185" s="17"/>
      <c r="BJ185" s="17"/>
      <c r="BK185" s="17"/>
      <c r="BL185" s="17">
        <v>11</v>
      </c>
      <c r="BM185" s="17"/>
      <c r="BN185" s="17"/>
      <c r="BO185" s="17"/>
      <c r="BP185" s="17">
        <v>0</v>
      </c>
      <c r="BQ185" s="17"/>
      <c r="BR185" s="17"/>
      <c r="BS185" s="17"/>
      <c r="BT185" s="17">
        <f>37+28</f>
        <v>65</v>
      </c>
      <c r="BU185" s="17">
        <f>22+16</f>
        <v>38</v>
      </c>
      <c r="BV185" s="17">
        <v>6</v>
      </c>
      <c r="BW185" s="17"/>
      <c r="BX185" s="17"/>
      <c r="BY185" s="17"/>
      <c r="BZ185" s="17">
        <f>6+5</f>
        <v>11</v>
      </c>
      <c r="CA185" s="17"/>
      <c r="CB185" s="17"/>
      <c r="CC185" s="17"/>
      <c r="CD185" s="17"/>
      <c r="CE185" s="17"/>
      <c r="CF185" s="17"/>
      <c r="CG185" s="17"/>
      <c r="CH185" s="17"/>
      <c r="CI185" s="17"/>
      <c r="CJ185" s="17"/>
      <c r="CK185" s="17"/>
      <c r="CL185" s="17"/>
      <c r="CM185" s="17"/>
      <c r="CN185" s="18"/>
      <c r="CO185" s="18"/>
      <c r="CP185" s="18"/>
      <c r="CQ185" s="18"/>
      <c r="CR185" s="18"/>
      <c r="CS185" s="18"/>
      <c r="CT185" s="18"/>
      <c r="CU185" s="18"/>
      <c r="CV185" s="18"/>
      <c r="CW185" s="18"/>
      <c r="CX185" s="18"/>
      <c r="CY185" s="18"/>
    </row>
    <row r="186" spans="1:103" s="36" customFormat="1" x14ac:dyDescent="0.2">
      <c r="A186" s="58">
        <v>173</v>
      </c>
      <c r="B186" s="14" t="s">
        <v>1429</v>
      </c>
      <c r="C186" s="30" t="s">
        <v>79</v>
      </c>
      <c r="D186" s="31" t="s">
        <v>1353</v>
      </c>
      <c r="E186" s="31"/>
      <c r="F186" s="31">
        <v>2016</v>
      </c>
      <c r="G186" s="32" t="s">
        <v>1354</v>
      </c>
      <c r="H186" s="32"/>
      <c r="I186" s="31" t="s">
        <v>8</v>
      </c>
      <c r="J186" s="31" t="s">
        <v>35</v>
      </c>
      <c r="K186" s="31" t="s">
        <v>1472</v>
      </c>
      <c r="L186" s="15" t="s">
        <v>68</v>
      </c>
      <c r="M186" s="15" t="s">
        <v>25</v>
      </c>
      <c r="N186" s="31" t="s">
        <v>201</v>
      </c>
      <c r="O186" s="31" t="s">
        <v>404</v>
      </c>
      <c r="P186" s="31" t="s">
        <v>333</v>
      </c>
      <c r="Q186" s="32" t="s">
        <v>313</v>
      </c>
      <c r="R186" s="32" t="s">
        <v>1355</v>
      </c>
      <c r="S186" s="31" t="s">
        <v>115</v>
      </c>
      <c r="T186" s="31" t="s">
        <v>1351</v>
      </c>
      <c r="U186" s="31">
        <v>7</v>
      </c>
      <c r="V186" s="57">
        <f t="shared" si="18"/>
        <v>7</v>
      </c>
      <c r="W186" s="57" t="str">
        <f t="shared" si="24"/>
        <v>L</v>
      </c>
      <c r="X186" s="31" t="s">
        <v>16</v>
      </c>
      <c r="Y186" s="31" t="s">
        <v>14</v>
      </c>
      <c r="Z186" s="31" t="s">
        <v>40</v>
      </c>
      <c r="AA186" s="32" t="s">
        <v>1352</v>
      </c>
      <c r="AB186" s="31">
        <v>7</v>
      </c>
      <c r="AC186" s="15">
        <f t="shared" si="19"/>
        <v>7</v>
      </c>
      <c r="AD186" s="15" t="str">
        <f t="shared" si="20"/>
        <v>L</v>
      </c>
      <c r="AE186" s="31" t="s">
        <v>13</v>
      </c>
      <c r="AF186" s="31" t="s">
        <v>14</v>
      </c>
      <c r="AG186" s="33">
        <v>863</v>
      </c>
      <c r="AH186" s="33">
        <v>434</v>
      </c>
      <c r="AI186" s="33">
        <v>434</v>
      </c>
      <c r="AJ186" s="33">
        <v>344</v>
      </c>
      <c r="AK186" s="33">
        <f>+AI186-AJ186</f>
        <v>90</v>
      </c>
      <c r="AL186" s="44"/>
      <c r="AM186" s="33"/>
      <c r="AN186" s="44"/>
      <c r="AO186" s="44"/>
      <c r="AP186" s="33"/>
      <c r="AQ186" s="33"/>
      <c r="AR186" s="33"/>
      <c r="AS186" s="33">
        <v>149</v>
      </c>
      <c r="AT186" s="33">
        <v>30</v>
      </c>
      <c r="AU186" s="33">
        <v>2</v>
      </c>
      <c r="AV186" s="33"/>
      <c r="AW186" s="33">
        <v>5</v>
      </c>
      <c r="AX186" s="33"/>
      <c r="AY186" s="33"/>
      <c r="AZ186" s="33"/>
      <c r="BA186" s="33">
        <v>429</v>
      </c>
      <c r="BB186" s="33">
        <v>429</v>
      </c>
      <c r="BC186" s="33">
        <v>380</v>
      </c>
      <c r="BD186" s="33">
        <v>49</v>
      </c>
      <c r="BE186" s="44"/>
      <c r="BF186" s="33"/>
      <c r="BG186" s="44"/>
      <c r="BH186" s="33"/>
      <c r="BI186" s="33"/>
      <c r="BJ186" s="33"/>
      <c r="BK186" s="33"/>
      <c r="BL186" s="33"/>
      <c r="BM186" s="33"/>
      <c r="BN186" s="33"/>
      <c r="BO186" s="33"/>
      <c r="BP186" s="33">
        <v>7</v>
      </c>
      <c r="BQ186" s="33"/>
      <c r="BR186" s="33"/>
      <c r="BS186" s="33"/>
      <c r="BT186" s="33">
        <f>56+46+41+38+98+88</f>
        <v>367</v>
      </c>
      <c r="BU186" s="33">
        <f>79+76</f>
        <v>155</v>
      </c>
      <c r="BV186" s="33">
        <v>38</v>
      </c>
      <c r="BW186" s="33">
        <v>12</v>
      </c>
      <c r="BX186" s="33">
        <v>10</v>
      </c>
      <c r="BY186" s="33">
        <f>21+16</f>
        <v>37</v>
      </c>
      <c r="BZ186" s="33">
        <f>56+46</f>
        <v>102</v>
      </c>
      <c r="CA186" s="33">
        <v>12</v>
      </c>
      <c r="CB186" s="33"/>
      <c r="CC186" s="33"/>
      <c r="CD186" s="33"/>
      <c r="CE186" s="33"/>
      <c r="CF186" s="33"/>
      <c r="CG186" s="33"/>
      <c r="CH186" s="33"/>
      <c r="CI186" s="33"/>
      <c r="CJ186" s="33"/>
      <c r="CK186" s="33"/>
      <c r="CL186" s="33"/>
      <c r="CM186" s="33"/>
      <c r="CN186" s="35"/>
      <c r="CO186" s="35"/>
      <c r="CP186" s="35"/>
      <c r="CQ186" s="35"/>
      <c r="CR186" s="35"/>
      <c r="CS186" s="35"/>
      <c r="CT186" s="35"/>
      <c r="CU186" s="35"/>
      <c r="CV186" s="35"/>
      <c r="CW186" s="35"/>
      <c r="CX186" s="35"/>
      <c r="CY186" s="35"/>
    </row>
    <row r="187" spans="1:103" s="19" customFormat="1" x14ac:dyDescent="0.2">
      <c r="A187" s="58">
        <v>174</v>
      </c>
      <c r="B187" s="14" t="s">
        <v>1429</v>
      </c>
      <c r="C187" s="14" t="s">
        <v>79</v>
      </c>
      <c r="D187" s="15" t="s">
        <v>217</v>
      </c>
      <c r="E187" s="15"/>
      <c r="F187" s="15">
        <v>2003</v>
      </c>
      <c r="G187" s="16" t="s">
        <v>360</v>
      </c>
      <c r="H187" s="16"/>
      <c r="I187" s="15" t="s">
        <v>8</v>
      </c>
      <c r="J187" s="15" t="s">
        <v>358</v>
      </c>
      <c r="K187" s="15" t="s">
        <v>1475</v>
      </c>
      <c r="L187" s="15" t="s">
        <v>31</v>
      </c>
      <c r="M187" s="15" t="s">
        <v>333</v>
      </c>
      <c r="N187" s="15" t="s">
        <v>201</v>
      </c>
      <c r="O187" s="15" t="s">
        <v>404</v>
      </c>
      <c r="P187" s="31" t="s">
        <v>333</v>
      </c>
      <c r="Q187" s="16" t="s">
        <v>313</v>
      </c>
      <c r="R187" s="16" t="s">
        <v>359</v>
      </c>
      <c r="S187" s="15" t="s">
        <v>23</v>
      </c>
      <c r="T187" s="15" t="s">
        <v>1186</v>
      </c>
      <c r="U187" s="15">
        <v>10</v>
      </c>
      <c r="V187" s="57">
        <f t="shared" si="18"/>
        <v>10</v>
      </c>
      <c r="W187" s="57" t="str">
        <f t="shared" si="24"/>
        <v>L</v>
      </c>
      <c r="X187" s="15" t="s">
        <v>131</v>
      </c>
      <c r="Y187" s="15" t="s">
        <v>388</v>
      </c>
      <c r="Z187" s="15" t="s">
        <v>40</v>
      </c>
      <c r="AA187" s="15" t="s">
        <v>240</v>
      </c>
      <c r="AB187" s="15">
        <v>10</v>
      </c>
      <c r="AC187" s="15">
        <f t="shared" si="19"/>
        <v>10</v>
      </c>
      <c r="AD187" s="15" t="str">
        <f t="shared" si="20"/>
        <v>L</v>
      </c>
      <c r="AE187" s="15" t="s">
        <v>13</v>
      </c>
      <c r="AF187" s="15" t="s">
        <v>14</v>
      </c>
      <c r="AG187" s="17">
        <f>45+39</f>
        <v>84</v>
      </c>
      <c r="AH187" s="17">
        <v>45</v>
      </c>
      <c r="AI187" s="17"/>
      <c r="AJ187" s="17"/>
      <c r="AK187" s="17"/>
      <c r="AL187" s="47">
        <v>36</v>
      </c>
      <c r="AM187" s="17">
        <v>33</v>
      </c>
      <c r="AN187" s="47">
        <v>3</v>
      </c>
      <c r="AO187" s="47">
        <v>16</v>
      </c>
      <c r="AP187" s="17">
        <v>14</v>
      </c>
      <c r="AQ187" s="17">
        <v>2</v>
      </c>
      <c r="AR187" s="17"/>
      <c r="AS187" s="17"/>
      <c r="AT187" s="17">
        <v>20</v>
      </c>
      <c r="AU187" s="17">
        <v>2</v>
      </c>
      <c r="AV187" s="17"/>
      <c r="AW187" s="17">
        <v>1</v>
      </c>
      <c r="AX187" s="17"/>
      <c r="AY187" s="17"/>
      <c r="AZ187" s="17"/>
      <c r="BA187" s="17">
        <v>39</v>
      </c>
      <c r="BB187" s="17"/>
      <c r="BC187" s="17"/>
      <c r="BD187" s="17"/>
      <c r="BE187" s="47">
        <v>34</v>
      </c>
      <c r="BF187" s="17">
        <v>32</v>
      </c>
      <c r="BG187" s="47">
        <v>2</v>
      </c>
      <c r="BH187" s="17">
        <v>17</v>
      </c>
      <c r="BI187" s="17">
        <v>15</v>
      </c>
      <c r="BJ187" s="17">
        <v>2</v>
      </c>
      <c r="BK187" s="17"/>
      <c r="BL187" s="17">
        <v>27</v>
      </c>
      <c r="BM187" s="17"/>
      <c r="BN187" s="17">
        <v>1</v>
      </c>
      <c r="BO187" s="17"/>
      <c r="BP187" s="17">
        <v>1</v>
      </c>
      <c r="BQ187" s="17"/>
      <c r="BR187" s="17"/>
      <c r="BS187" s="17"/>
      <c r="BT187" s="17">
        <f>34+36</f>
        <v>70</v>
      </c>
      <c r="BU187" s="17">
        <f>15+13</f>
        <v>28</v>
      </c>
      <c r="BV187" s="17">
        <v>3</v>
      </c>
      <c r="BW187" s="17">
        <v>2</v>
      </c>
      <c r="BX187" s="17">
        <v>2</v>
      </c>
      <c r="BY187" s="17">
        <v>1</v>
      </c>
      <c r="BZ187" s="17">
        <v>12</v>
      </c>
      <c r="CA187" s="17">
        <v>8</v>
      </c>
      <c r="CB187" s="17"/>
      <c r="CC187" s="17"/>
      <c r="CD187" s="17"/>
      <c r="CE187" s="17"/>
      <c r="CF187" s="17"/>
      <c r="CG187" s="17"/>
      <c r="CH187" s="17"/>
      <c r="CI187" s="17"/>
      <c r="CJ187" s="17"/>
      <c r="CK187" s="17"/>
      <c r="CL187" s="17"/>
      <c r="CM187" s="17"/>
      <c r="CN187" s="18"/>
      <c r="CO187" s="18"/>
      <c r="CP187" s="18"/>
      <c r="CQ187" s="18"/>
      <c r="CR187" s="18"/>
      <c r="CS187" s="18"/>
      <c r="CT187" s="18"/>
      <c r="CU187" s="18"/>
      <c r="CV187" s="18"/>
      <c r="CW187" s="18"/>
      <c r="CX187" s="18"/>
      <c r="CY187" s="18"/>
    </row>
    <row r="188" spans="1:103" s="19" customFormat="1" x14ac:dyDescent="0.2">
      <c r="A188" s="58">
        <v>175</v>
      </c>
      <c r="B188" s="14" t="s">
        <v>1429</v>
      </c>
      <c r="C188" s="14" t="s">
        <v>79</v>
      </c>
      <c r="D188" s="15" t="s">
        <v>191</v>
      </c>
      <c r="E188" s="15"/>
      <c r="F188" s="15">
        <v>2003</v>
      </c>
      <c r="G188" s="16" t="s">
        <v>218</v>
      </c>
      <c r="H188" s="24"/>
      <c r="I188" s="15" t="s">
        <v>8</v>
      </c>
      <c r="J188" s="16" t="s">
        <v>390</v>
      </c>
      <c r="K188" s="16"/>
      <c r="L188" s="15" t="s">
        <v>31</v>
      </c>
      <c r="M188" s="15" t="s">
        <v>333</v>
      </c>
      <c r="N188" s="15" t="s">
        <v>201</v>
      </c>
      <c r="O188" s="15" t="s">
        <v>404</v>
      </c>
      <c r="P188" s="31" t="s">
        <v>333</v>
      </c>
      <c r="Q188" s="16" t="s">
        <v>313</v>
      </c>
      <c r="R188" s="16" t="s">
        <v>1362</v>
      </c>
      <c r="S188" s="15" t="s">
        <v>40</v>
      </c>
      <c r="T188" s="15" t="s">
        <v>240</v>
      </c>
      <c r="U188" s="15" t="s">
        <v>845</v>
      </c>
      <c r="V188" s="57">
        <v>10</v>
      </c>
      <c r="W188" s="57" t="str">
        <f t="shared" si="24"/>
        <v>L</v>
      </c>
      <c r="X188" s="15" t="s">
        <v>13</v>
      </c>
      <c r="Y188" s="15" t="s">
        <v>14</v>
      </c>
      <c r="Z188" s="16" t="s">
        <v>1360</v>
      </c>
      <c r="AA188" s="16" t="s">
        <v>1361</v>
      </c>
      <c r="AB188" s="15" t="s">
        <v>845</v>
      </c>
      <c r="AC188" s="15">
        <v>12</v>
      </c>
      <c r="AD188" s="15" t="str">
        <f t="shared" si="20"/>
        <v>L</v>
      </c>
      <c r="AE188" s="15" t="s">
        <v>131</v>
      </c>
      <c r="AF188" s="15" t="s">
        <v>388</v>
      </c>
      <c r="AG188" s="17">
        <v>564</v>
      </c>
      <c r="AH188" s="17">
        <v>233</v>
      </c>
      <c r="AI188" s="17">
        <v>233</v>
      </c>
      <c r="AJ188" s="17">
        <v>218</v>
      </c>
      <c r="AK188" s="17">
        <f>+AI188-AJ188</f>
        <v>15</v>
      </c>
      <c r="AL188" s="47">
        <v>215</v>
      </c>
      <c r="AM188" s="17">
        <v>201</v>
      </c>
      <c r="AN188" s="47">
        <v>14</v>
      </c>
      <c r="AO188" s="47"/>
      <c r="AP188" s="17"/>
      <c r="AQ188" s="17"/>
      <c r="AR188" s="17"/>
      <c r="AS188" s="17">
        <v>132</v>
      </c>
      <c r="AT188" s="17">
        <v>55</v>
      </c>
      <c r="AU188" s="17">
        <v>24</v>
      </c>
      <c r="AV188" s="17"/>
      <c r="AW188" s="17">
        <v>4</v>
      </c>
      <c r="AX188" s="17">
        <v>7</v>
      </c>
      <c r="AY188" s="17"/>
      <c r="AZ188" s="17"/>
      <c r="BA188" s="17">
        <v>244</v>
      </c>
      <c r="BB188" s="17">
        <v>244</v>
      </c>
      <c r="BC188" s="17">
        <v>218</v>
      </c>
      <c r="BD188" s="17">
        <v>26</v>
      </c>
      <c r="BE188" s="47">
        <v>221</v>
      </c>
      <c r="BF188" s="17">
        <v>207</v>
      </c>
      <c r="BG188" s="47">
        <f>+BE188-BF188</f>
        <v>14</v>
      </c>
      <c r="BH188" s="17"/>
      <c r="BI188" s="17"/>
      <c r="BJ188" s="17"/>
      <c r="BK188" s="17"/>
      <c r="BL188" s="17">
        <v>150</v>
      </c>
      <c r="BM188" s="17">
        <v>86</v>
      </c>
      <c r="BN188" s="17">
        <v>33</v>
      </c>
      <c r="BO188" s="17"/>
      <c r="BP188" s="17">
        <v>5</v>
      </c>
      <c r="BQ188" s="17">
        <v>7</v>
      </c>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8"/>
      <c r="CO188" s="18"/>
      <c r="CP188" s="18"/>
      <c r="CQ188" s="18"/>
      <c r="CR188" s="18"/>
      <c r="CS188" s="18"/>
      <c r="CT188" s="18"/>
      <c r="CU188" s="18"/>
      <c r="CV188" s="18"/>
      <c r="CW188" s="18"/>
      <c r="CX188" s="18"/>
      <c r="CY188" s="18"/>
    </row>
    <row r="189" spans="1:103" s="36" customFormat="1" x14ac:dyDescent="0.2">
      <c r="A189" s="58">
        <v>176</v>
      </c>
      <c r="B189" s="14" t="s">
        <v>1429</v>
      </c>
      <c r="C189" s="30" t="s">
        <v>79</v>
      </c>
      <c r="D189" s="31" t="s">
        <v>304</v>
      </c>
      <c r="E189" s="31" t="s">
        <v>305</v>
      </c>
      <c r="F189" s="31">
        <v>2020</v>
      </c>
      <c r="G189" s="32" t="s">
        <v>305</v>
      </c>
      <c r="H189" s="32"/>
      <c r="I189" s="31" t="s">
        <v>8</v>
      </c>
      <c r="J189" s="31" t="s">
        <v>109</v>
      </c>
      <c r="K189" s="31" t="s">
        <v>1471</v>
      </c>
      <c r="L189" s="31" t="s">
        <v>31</v>
      </c>
      <c r="M189" s="31" t="s">
        <v>11</v>
      </c>
      <c r="N189" s="31" t="s">
        <v>75</v>
      </c>
      <c r="O189" s="31" t="s">
        <v>890</v>
      </c>
      <c r="P189" s="31" t="s">
        <v>333</v>
      </c>
      <c r="Q189" s="32" t="s">
        <v>313</v>
      </c>
      <c r="R189" s="32" t="s">
        <v>309</v>
      </c>
      <c r="S189" s="31" t="s">
        <v>23</v>
      </c>
      <c r="T189" s="31" t="s">
        <v>1388</v>
      </c>
      <c r="U189" s="31">
        <v>3</v>
      </c>
      <c r="V189" s="57">
        <f t="shared" si="18"/>
        <v>3</v>
      </c>
      <c r="W189" s="57" t="str">
        <f t="shared" si="24"/>
        <v>S</v>
      </c>
      <c r="X189" s="31" t="s">
        <v>131</v>
      </c>
      <c r="Y189" s="31" t="s">
        <v>388</v>
      </c>
      <c r="Z189" s="31" t="s">
        <v>282</v>
      </c>
      <c r="AA189" s="31" t="s">
        <v>1388</v>
      </c>
      <c r="AB189" s="31">
        <v>3</v>
      </c>
      <c r="AC189" s="15">
        <f t="shared" si="19"/>
        <v>3</v>
      </c>
      <c r="AD189" s="15" t="str">
        <f t="shared" si="20"/>
        <v>S</v>
      </c>
      <c r="AE189" s="31"/>
      <c r="AF189" s="31"/>
      <c r="AG189" s="33">
        <v>4002</v>
      </c>
      <c r="AH189" s="33">
        <v>2003</v>
      </c>
      <c r="AI189" s="33">
        <v>2003</v>
      </c>
      <c r="AJ189" s="33">
        <v>1952</v>
      </c>
      <c r="AK189" s="33">
        <f>+AI189-AJ189</f>
        <v>51</v>
      </c>
      <c r="AL189" s="44">
        <v>1929</v>
      </c>
      <c r="AM189" s="33">
        <v>1878</v>
      </c>
      <c r="AN189" s="44">
        <f>+AL189-AM189</f>
        <v>51</v>
      </c>
      <c r="AO189" s="44"/>
      <c r="AP189" s="33"/>
      <c r="AQ189" s="33"/>
      <c r="AR189" s="33">
        <v>58</v>
      </c>
      <c r="AS189" s="33">
        <v>46</v>
      </c>
      <c r="AT189" s="33"/>
      <c r="AU189" s="33"/>
      <c r="AV189" s="33"/>
      <c r="AW189" s="33">
        <v>1</v>
      </c>
      <c r="AX189" s="33"/>
      <c r="AY189" s="33"/>
      <c r="AZ189" s="33"/>
      <c r="BA189" s="33">
        <v>1999</v>
      </c>
      <c r="BB189" s="33">
        <v>1999</v>
      </c>
      <c r="BC189" s="33">
        <f>+BB189-BD189</f>
        <v>1903</v>
      </c>
      <c r="BD189" s="33">
        <v>96</v>
      </c>
      <c r="BE189" s="44">
        <v>1927</v>
      </c>
      <c r="BF189" s="33">
        <f>+BE189-BG189</f>
        <v>1832</v>
      </c>
      <c r="BG189" s="44">
        <v>95</v>
      </c>
      <c r="BH189" s="33"/>
      <c r="BI189" s="33"/>
      <c r="BJ189" s="33"/>
      <c r="BK189" s="33">
        <v>41</v>
      </c>
      <c r="BL189" s="33">
        <v>66</v>
      </c>
      <c r="BM189" s="33"/>
      <c r="BN189" s="33"/>
      <c r="BO189" s="33"/>
      <c r="BP189" s="33">
        <v>1</v>
      </c>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5"/>
      <c r="CO189" s="35"/>
      <c r="CP189" s="35"/>
      <c r="CQ189" s="35"/>
      <c r="CR189" s="35"/>
      <c r="CS189" s="35"/>
      <c r="CT189" s="35"/>
      <c r="CU189" s="35"/>
      <c r="CV189" s="35"/>
      <c r="CW189" s="35"/>
      <c r="CX189" s="35"/>
      <c r="CY189" s="35"/>
    </row>
    <row r="190" spans="1:103" s="36" customFormat="1" x14ac:dyDescent="0.2">
      <c r="A190" s="58">
        <v>177</v>
      </c>
      <c r="B190" s="14" t="s">
        <v>1429</v>
      </c>
      <c r="C190" s="30" t="s">
        <v>79</v>
      </c>
      <c r="D190" s="31" t="s">
        <v>302</v>
      </c>
      <c r="E190" s="31" t="s">
        <v>303</v>
      </c>
      <c r="F190" s="31">
        <v>2022</v>
      </c>
      <c r="G190" s="32" t="s">
        <v>303</v>
      </c>
      <c r="H190" s="32"/>
      <c r="I190" s="31" t="s">
        <v>8</v>
      </c>
      <c r="J190" s="31" t="s">
        <v>109</v>
      </c>
      <c r="K190" s="31" t="s">
        <v>1471</v>
      </c>
      <c r="L190" s="31" t="s">
        <v>31</v>
      </c>
      <c r="M190" s="31" t="s">
        <v>11</v>
      </c>
      <c r="N190" s="31" t="s">
        <v>75</v>
      </c>
      <c r="O190" s="31" t="s">
        <v>890</v>
      </c>
      <c r="P190" s="15" t="s">
        <v>285</v>
      </c>
      <c r="Q190" s="17" t="s">
        <v>308</v>
      </c>
      <c r="R190" s="32" t="s">
        <v>1386</v>
      </c>
      <c r="S190" s="31" t="s">
        <v>23</v>
      </c>
      <c r="T190" s="31" t="s">
        <v>1389</v>
      </c>
      <c r="U190" s="31">
        <v>3</v>
      </c>
      <c r="V190" s="57">
        <f t="shared" si="18"/>
        <v>3</v>
      </c>
      <c r="W190" s="57" t="str">
        <f t="shared" si="24"/>
        <v>S</v>
      </c>
      <c r="X190" s="31" t="s">
        <v>131</v>
      </c>
      <c r="Y190" s="31" t="s">
        <v>388</v>
      </c>
      <c r="Z190" s="31" t="s">
        <v>194</v>
      </c>
      <c r="AA190" s="31" t="s">
        <v>1390</v>
      </c>
      <c r="AB190" s="31">
        <v>5</v>
      </c>
      <c r="AC190" s="15">
        <f t="shared" si="19"/>
        <v>5</v>
      </c>
      <c r="AD190" s="15" t="str">
        <f t="shared" si="20"/>
        <v>S</v>
      </c>
      <c r="AE190" s="31" t="s">
        <v>772</v>
      </c>
      <c r="AF190" s="31" t="s">
        <v>388</v>
      </c>
      <c r="AG190" s="33">
        <v>5148</v>
      </c>
      <c r="AH190" s="33">
        <v>2527</v>
      </c>
      <c r="AI190" s="33">
        <v>2480</v>
      </c>
      <c r="AJ190" s="33">
        <f>+AI190-AK190</f>
        <v>2408</v>
      </c>
      <c r="AK190" s="33">
        <v>72</v>
      </c>
      <c r="AL190" s="44"/>
      <c r="AM190" s="33"/>
      <c r="AN190" s="44"/>
      <c r="AO190" s="44"/>
      <c r="AP190" s="33"/>
      <c r="AQ190" s="33"/>
      <c r="AR190" s="33"/>
      <c r="AS190" s="33"/>
      <c r="AT190" s="33"/>
      <c r="AU190" s="33"/>
      <c r="AV190" s="33"/>
      <c r="AW190" s="33"/>
      <c r="AX190" s="33"/>
      <c r="AY190" s="33"/>
      <c r="AZ190" s="33"/>
      <c r="BA190" s="33">
        <v>2621</v>
      </c>
      <c r="BB190" s="33">
        <v>2504</v>
      </c>
      <c r="BC190" s="33">
        <f>+BB190-BD190</f>
        <v>2402</v>
      </c>
      <c r="BD190" s="33">
        <v>102</v>
      </c>
      <c r="BE190" s="44"/>
      <c r="BF190" s="33"/>
      <c r="BG190" s="44"/>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5"/>
      <c r="CO190" s="35"/>
      <c r="CP190" s="35"/>
      <c r="CQ190" s="35"/>
      <c r="CR190" s="35"/>
      <c r="CS190" s="35"/>
      <c r="CT190" s="35"/>
      <c r="CU190" s="35"/>
      <c r="CV190" s="35"/>
      <c r="CW190" s="35"/>
      <c r="CX190" s="35"/>
      <c r="CY190" s="35"/>
    </row>
    <row r="191" spans="1:103" s="29" customFormat="1" x14ac:dyDescent="0.2">
      <c r="A191" s="58">
        <v>178</v>
      </c>
      <c r="B191" s="14" t="s">
        <v>1429</v>
      </c>
      <c r="C191" s="30" t="s">
        <v>79</v>
      </c>
      <c r="D191" s="31" t="s">
        <v>244</v>
      </c>
      <c r="E191" s="31"/>
      <c r="F191" s="31">
        <v>2008</v>
      </c>
      <c r="G191" s="32" t="s">
        <v>310</v>
      </c>
      <c r="H191" s="32"/>
      <c r="I191" s="31" t="s">
        <v>8</v>
      </c>
      <c r="J191" s="31" t="s">
        <v>76</v>
      </c>
      <c r="K191" s="31" t="s">
        <v>1471</v>
      </c>
      <c r="L191" s="31" t="s">
        <v>31</v>
      </c>
      <c r="M191" s="31" t="s">
        <v>11</v>
      </c>
      <c r="N191" s="31" t="s">
        <v>75</v>
      </c>
      <c r="O191" s="31" t="s">
        <v>890</v>
      </c>
      <c r="P191" s="15" t="s">
        <v>285</v>
      </c>
      <c r="Q191" s="16" t="s">
        <v>1118</v>
      </c>
      <c r="R191" s="32" t="s">
        <v>311</v>
      </c>
      <c r="S191" s="31" t="s">
        <v>23</v>
      </c>
      <c r="T191" s="32" t="s">
        <v>1391</v>
      </c>
      <c r="U191" s="31">
        <v>3</v>
      </c>
      <c r="V191" s="57">
        <f t="shared" si="18"/>
        <v>3</v>
      </c>
      <c r="W191" s="57" t="str">
        <f t="shared" si="24"/>
        <v>S</v>
      </c>
      <c r="X191" s="31" t="s">
        <v>131</v>
      </c>
      <c r="Y191" s="31" t="s">
        <v>388</v>
      </c>
      <c r="Z191" s="31" t="s">
        <v>282</v>
      </c>
      <c r="AA191" s="31" t="s">
        <v>1391</v>
      </c>
      <c r="AB191" s="31">
        <v>3</v>
      </c>
      <c r="AC191" s="15">
        <f t="shared" si="19"/>
        <v>3</v>
      </c>
      <c r="AD191" s="15" t="str">
        <f t="shared" si="20"/>
        <v>S</v>
      </c>
      <c r="AE191" s="31"/>
      <c r="AF191" s="31"/>
      <c r="AG191" s="33">
        <v>1671</v>
      </c>
      <c r="AH191" s="33">
        <v>835</v>
      </c>
      <c r="AI191" s="33">
        <v>835</v>
      </c>
      <c r="AJ191" s="33">
        <f>+AI191-AK191</f>
        <v>669</v>
      </c>
      <c r="AK191" s="33">
        <v>166</v>
      </c>
      <c r="AL191" s="44">
        <v>801</v>
      </c>
      <c r="AM191" s="33">
        <f>+AL191-AN191</f>
        <v>661</v>
      </c>
      <c r="AN191" s="44">
        <v>140</v>
      </c>
      <c r="AO191" s="44"/>
      <c r="AP191" s="33"/>
      <c r="AQ191" s="33"/>
      <c r="AR191" s="33">
        <v>41</v>
      </c>
      <c r="AS191" s="33"/>
      <c r="AT191" s="33"/>
      <c r="AU191" s="33"/>
      <c r="AV191" s="33">
        <v>15</v>
      </c>
      <c r="AW191" s="33">
        <v>0</v>
      </c>
      <c r="AX191" s="33"/>
      <c r="AY191" s="33"/>
      <c r="AZ191" s="33"/>
      <c r="BA191" s="33">
        <v>836</v>
      </c>
      <c r="BB191" s="33">
        <v>836</v>
      </c>
      <c r="BC191" s="33">
        <f>+BB191-BD191</f>
        <v>635</v>
      </c>
      <c r="BD191" s="33">
        <v>201</v>
      </c>
      <c r="BE191" s="44">
        <v>791</v>
      </c>
      <c r="BF191" s="33">
        <f>+BE191-BG191</f>
        <v>619</v>
      </c>
      <c r="BG191" s="44">
        <v>172</v>
      </c>
      <c r="BH191" s="33"/>
      <c r="BI191" s="33"/>
      <c r="BJ191" s="33"/>
      <c r="BK191" s="33">
        <v>44</v>
      </c>
      <c r="BL191" s="33"/>
      <c r="BM191" s="33"/>
      <c r="BN191" s="33"/>
      <c r="BO191" s="33">
        <v>15</v>
      </c>
      <c r="BP191" s="33">
        <v>0</v>
      </c>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5"/>
      <c r="CO191" s="35"/>
      <c r="CP191" s="35"/>
      <c r="CQ191" s="35"/>
      <c r="CR191" s="35"/>
      <c r="CS191" s="35"/>
      <c r="CT191" s="35"/>
      <c r="CU191" s="35"/>
      <c r="CV191" s="35"/>
      <c r="CW191" s="35"/>
      <c r="CX191" s="35"/>
      <c r="CY191" s="35"/>
    </row>
    <row r="192" spans="1:103" s="36" customFormat="1" x14ac:dyDescent="0.2">
      <c r="A192" s="58">
        <v>179</v>
      </c>
      <c r="B192" s="14" t="s">
        <v>1429</v>
      </c>
      <c r="C192" s="30" t="s">
        <v>79</v>
      </c>
      <c r="D192" s="31" t="s">
        <v>326</v>
      </c>
      <c r="E192" s="31" t="s">
        <v>327</v>
      </c>
      <c r="F192" s="31">
        <v>2013</v>
      </c>
      <c r="G192" s="32" t="s">
        <v>327</v>
      </c>
      <c r="H192" s="32"/>
      <c r="I192" s="31" t="s">
        <v>8</v>
      </c>
      <c r="J192" s="31" t="s">
        <v>76</v>
      </c>
      <c r="K192" s="31" t="s">
        <v>1471</v>
      </c>
      <c r="L192" s="31" t="s">
        <v>31</v>
      </c>
      <c r="M192" s="31" t="s">
        <v>333</v>
      </c>
      <c r="N192" s="31" t="s">
        <v>75</v>
      </c>
      <c r="O192" s="31" t="s">
        <v>1162</v>
      </c>
      <c r="P192" s="15" t="s">
        <v>285</v>
      </c>
      <c r="Q192" s="32" t="s">
        <v>313</v>
      </c>
      <c r="R192" s="32" t="s">
        <v>328</v>
      </c>
      <c r="S192" s="31" t="s">
        <v>23</v>
      </c>
      <c r="T192" s="31" t="s">
        <v>1392</v>
      </c>
      <c r="U192" s="31">
        <v>5</v>
      </c>
      <c r="V192" s="57">
        <f t="shared" si="18"/>
        <v>5</v>
      </c>
      <c r="W192" s="57" t="str">
        <f t="shared" si="24"/>
        <v>S</v>
      </c>
      <c r="X192" s="31" t="s">
        <v>131</v>
      </c>
      <c r="Y192" s="31" t="s">
        <v>388</v>
      </c>
      <c r="Z192" s="31" t="s">
        <v>194</v>
      </c>
      <c r="AA192" s="31" t="s">
        <v>1393</v>
      </c>
      <c r="AB192" s="31">
        <v>5</v>
      </c>
      <c r="AC192" s="15">
        <f t="shared" si="19"/>
        <v>5</v>
      </c>
      <c r="AD192" s="15" t="str">
        <f t="shared" si="20"/>
        <v>S</v>
      </c>
      <c r="AE192" s="31" t="s">
        <v>772</v>
      </c>
      <c r="AF192" s="31" t="s">
        <v>388</v>
      </c>
      <c r="AG192" s="33">
        <v>204</v>
      </c>
      <c r="AH192" s="33">
        <v>99</v>
      </c>
      <c r="AI192" s="33">
        <v>99</v>
      </c>
      <c r="AJ192" s="33">
        <v>91</v>
      </c>
      <c r="AK192" s="33">
        <v>8</v>
      </c>
      <c r="AL192" s="44"/>
      <c r="AM192" s="33"/>
      <c r="AN192" s="44"/>
      <c r="AO192" s="44"/>
      <c r="AP192" s="33"/>
      <c r="AQ192" s="33"/>
      <c r="AR192" s="33"/>
      <c r="AS192" s="33"/>
      <c r="AT192" s="33"/>
      <c r="AU192" s="33"/>
      <c r="AV192" s="33"/>
      <c r="AW192" s="33"/>
      <c r="AX192" s="33"/>
      <c r="AY192" s="33"/>
      <c r="AZ192" s="33"/>
      <c r="BA192" s="33">
        <v>105</v>
      </c>
      <c r="BB192" s="33">
        <v>105</v>
      </c>
      <c r="BC192" s="33">
        <v>64</v>
      </c>
      <c r="BD192" s="33">
        <v>41</v>
      </c>
      <c r="BE192" s="44"/>
      <c r="BF192" s="33"/>
      <c r="BG192" s="44"/>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5"/>
      <c r="CO192" s="35"/>
      <c r="CP192" s="35"/>
      <c r="CQ192" s="35"/>
      <c r="CR192" s="35"/>
      <c r="CS192" s="35"/>
      <c r="CT192" s="35"/>
      <c r="CU192" s="35"/>
      <c r="CV192" s="35"/>
      <c r="CW192" s="35"/>
      <c r="CX192" s="35"/>
      <c r="CY192" s="35"/>
    </row>
    <row r="193" spans="1:103" s="36" customFormat="1" x14ac:dyDescent="0.2">
      <c r="A193" s="58">
        <v>180</v>
      </c>
      <c r="B193" s="30" t="s">
        <v>1429</v>
      </c>
      <c r="C193" s="30" t="s">
        <v>79</v>
      </c>
      <c r="D193" s="31" t="s">
        <v>1381</v>
      </c>
      <c r="E193" s="31" t="s">
        <v>1368</v>
      </c>
      <c r="F193" s="31">
        <v>2016</v>
      </c>
      <c r="G193" s="32" t="s">
        <v>1368</v>
      </c>
      <c r="H193" s="32"/>
      <c r="I193" s="31" t="s">
        <v>8</v>
      </c>
      <c r="J193" s="31" t="s">
        <v>1383</v>
      </c>
      <c r="K193" s="31" t="s">
        <v>1474</v>
      </c>
      <c r="L193" s="31" t="s">
        <v>32</v>
      </c>
      <c r="M193" s="15" t="s">
        <v>25</v>
      </c>
      <c r="N193" s="31" t="s">
        <v>75</v>
      </c>
      <c r="O193" s="31" t="s">
        <v>1394</v>
      </c>
      <c r="P193" s="31" t="s">
        <v>167</v>
      </c>
      <c r="Q193" s="32" t="s">
        <v>313</v>
      </c>
      <c r="R193" s="32" t="s">
        <v>1387</v>
      </c>
      <c r="S193" s="31" t="s">
        <v>131</v>
      </c>
      <c r="T193" s="31"/>
      <c r="U193" s="31">
        <v>10</v>
      </c>
      <c r="V193" s="57">
        <f t="shared" si="18"/>
        <v>10</v>
      </c>
      <c r="W193" s="57" t="str">
        <f t="shared" si="24"/>
        <v>L</v>
      </c>
      <c r="X193" s="31" t="s">
        <v>131</v>
      </c>
      <c r="Y193" s="31" t="s">
        <v>388</v>
      </c>
      <c r="Z193" s="31" t="s">
        <v>152</v>
      </c>
      <c r="AA193" s="31"/>
      <c r="AB193" s="31" t="s">
        <v>1070</v>
      </c>
      <c r="AC193" s="15">
        <v>7</v>
      </c>
      <c r="AD193" s="15" t="str">
        <f t="shared" si="20"/>
        <v>L</v>
      </c>
      <c r="AE193" s="31" t="s">
        <v>511</v>
      </c>
      <c r="AF193" s="31" t="s">
        <v>14</v>
      </c>
      <c r="AG193" s="33">
        <f>49+33</f>
        <v>82</v>
      </c>
      <c r="AH193" s="33">
        <v>33</v>
      </c>
      <c r="AI193" s="33">
        <v>33</v>
      </c>
      <c r="AJ193" s="33">
        <v>26</v>
      </c>
      <c r="AK193" s="33">
        <f>+AI193-AJ193</f>
        <v>7</v>
      </c>
      <c r="AL193" s="44"/>
      <c r="AM193" s="33"/>
      <c r="AN193" s="44"/>
      <c r="AO193" s="44"/>
      <c r="AP193" s="33"/>
      <c r="AQ193" s="33"/>
      <c r="AR193" s="33"/>
      <c r="AS193" s="33"/>
      <c r="AT193" s="33"/>
      <c r="AU193" s="33"/>
      <c r="AV193" s="33"/>
      <c r="AW193" s="33">
        <f>33-26</f>
        <v>7</v>
      </c>
      <c r="AX193" s="33"/>
      <c r="AY193" s="33"/>
      <c r="AZ193" s="33"/>
      <c r="BA193" s="33">
        <v>49</v>
      </c>
      <c r="BB193" s="33">
        <v>49</v>
      </c>
      <c r="BC193" s="33">
        <v>44</v>
      </c>
      <c r="BD193" s="33">
        <v>5</v>
      </c>
      <c r="BE193" s="44"/>
      <c r="BF193" s="33"/>
      <c r="BG193" s="44"/>
      <c r="BH193" s="33"/>
      <c r="BI193" s="33"/>
      <c r="BJ193" s="33"/>
      <c r="BK193" s="33"/>
      <c r="BL193" s="33"/>
      <c r="BM193" s="33"/>
      <c r="BN193" s="33"/>
      <c r="BO193" s="33"/>
      <c r="BP193" s="33">
        <f>49-44</f>
        <v>5</v>
      </c>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5"/>
      <c r="CO193" s="35"/>
      <c r="CP193" s="35"/>
      <c r="CQ193" s="35"/>
      <c r="CR193" s="35"/>
      <c r="CS193" s="35"/>
      <c r="CT193" s="35"/>
      <c r="CU193" s="35"/>
      <c r="CV193" s="35"/>
      <c r="CW193" s="35"/>
      <c r="CX193" s="35"/>
      <c r="CY193" s="35"/>
    </row>
    <row r="194" spans="1:103" s="36" customFormat="1" x14ac:dyDescent="0.2">
      <c r="A194" s="58">
        <v>180</v>
      </c>
      <c r="B194" s="30" t="s">
        <v>1430</v>
      </c>
      <c r="C194" s="30" t="s">
        <v>79</v>
      </c>
      <c r="D194" s="31" t="s">
        <v>1381</v>
      </c>
      <c r="E194" s="31" t="s">
        <v>1368</v>
      </c>
      <c r="F194" s="31">
        <v>2016</v>
      </c>
      <c r="G194" s="32" t="s">
        <v>1368</v>
      </c>
      <c r="H194" s="32"/>
      <c r="I194" s="31" t="s">
        <v>8</v>
      </c>
      <c r="J194" s="31" t="s">
        <v>1383</v>
      </c>
      <c r="K194" s="31" t="s">
        <v>1474</v>
      </c>
      <c r="L194" s="31" t="s">
        <v>32</v>
      </c>
      <c r="M194" s="15" t="s">
        <v>25</v>
      </c>
      <c r="N194" s="31" t="s">
        <v>75</v>
      </c>
      <c r="O194" s="31" t="s">
        <v>1394</v>
      </c>
      <c r="P194" s="31" t="s">
        <v>167</v>
      </c>
      <c r="Q194" s="32" t="s">
        <v>313</v>
      </c>
      <c r="R194" s="32" t="s">
        <v>1387</v>
      </c>
      <c r="S194" s="31" t="s">
        <v>531</v>
      </c>
      <c r="T194" s="31"/>
      <c r="U194" s="31" t="s">
        <v>1070</v>
      </c>
      <c r="V194" s="57">
        <v>7</v>
      </c>
      <c r="W194" s="57" t="str">
        <f t="shared" si="24"/>
        <v>L</v>
      </c>
      <c r="X194" s="31" t="s">
        <v>131</v>
      </c>
      <c r="Y194" s="31" t="s">
        <v>388</v>
      </c>
      <c r="Z194" s="31" t="s">
        <v>152</v>
      </c>
      <c r="AA194" s="31"/>
      <c r="AB194" s="31" t="s">
        <v>1070</v>
      </c>
      <c r="AC194" s="15">
        <v>7</v>
      </c>
      <c r="AD194" s="15" t="str">
        <f t="shared" si="20"/>
        <v>L</v>
      </c>
      <c r="AE194" s="31" t="s">
        <v>511</v>
      </c>
      <c r="AF194" s="31" t="s">
        <v>14</v>
      </c>
      <c r="AG194" s="33">
        <f>49+50</f>
        <v>99</v>
      </c>
      <c r="AH194" s="33">
        <v>50</v>
      </c>
      <c r="AI194" s="33">
        <v>50</v>
      </c>
      <c r="AJ194" s="33">
        <v>43</v>
      </c>
      <c r="AK194" s="33">
        <f>+AI194-AJ194</f>
        <v>7</v>
      </c>
      <c r="AL194" s="44"/>
      <c r="AM194" s="33"/>
      <c r="AN194" s="44"/>
      <c r="AO194" s="44"/>
      <c r="AP194" s="33"/>
      <c r="AQ194" s="33"/>
      <c r="AR194" s="33"/>
      <c r="AS194" s="33"/>
      <c r="AT194" s="33"/>
      <c r="AU194" s="33"/>
      <c r="AV194" s="33"/>
      <c r="AW194" s="33">
        <v>7</v>
      </c>
      <c r="AX194" s="33"/>
      <c r="AY194" s="33"/>
      <c r="AZ194" s="33"/>
      <c r="BA194" s="33">
        <v>49</v>
      </c>
      <c r="BB194" s="33">
        <v>49</v>
      </c>
      <c r="BC194" s="33">
        <v>44</v>
      </c>
      <c r="BD194" s="33">
        <v>5</v>
      </c>
      <c r="BE194" s="44"/>
      <c r="BF194" s="33"/>
      <c r="BG194" s="44"/>
      <c r="BH194" s="33"/>
      <c r="BI194" s="33"/>
      <c r="BJ194" s="33"/>
      <c r="BK194" s="33"/>
      <c r="BL194" s="33"/>
      <c r="BM194" s="33"/>
      <c r="BN194" s="33"/>
      <c r="BO194" s="33"/>
      <c r="BP194" s="33">
        <f>49-44</f>
        <v>5</v>
      </c>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5"/>
      <c r="CO194" s="35"/>
      <c r="CP194" s="35"/>
      <c r="CQ194" s="35"/>
      <c r="CR194" s="35"/>
      <c r="CS194" s="35"/>
      <c r="CT194" s="35"/>
      <c r="CU194" s="35"/>
      <c r="CV194" s="35"/>
      <c r="CW194" s="35"/>
      <c r="CX194" s="35"/>
      <c r="CY194" s="35"/>
    </row>
    <row r="195" spans="1:103" s="36" customFormat="1" x14ac:dyDescent="0.2">
      <c r="A195" s="58">
        <v>181</v>
      </c>
      <c r="B195" s="14" t="s">
        <v>1429</v>
      </c>
      <c r="C195" s="30" t="s">
        <v>79</v>
      </c>
      <c r="D195" s="31" t="s">
        <v>295</v>
      </c>
      <c r="E195" s="31" t="s">
        <v>296</v>
      </c>
      <c r="F195" s="31">
        <v>1996</v>
      </c>
      <c r="G195" s="32" t="s">
        <v>296</v>
      </c>
      <c r="H195" s="32"/>
      <c r="I195" s="31" t="s">
        <v>8</v>
      </c>
      <c r="J195" s="32" t="s">
        <v>1384</v>
      </c>
      <c r="K195" s="32" t="s">
        <v>1473</v>
      </c>
      <c r="L195" s="31" t="s">
        <v>31</v>
      </c>
      <c r="M195" s="31" t="s">
        <v>11</v>
      </c>
      <c r="N195" s="31" t="s">
        <v>201</v>
      </c>
      <c r="O195" s="31" t="s">
        <v>458</v>
      </c>
      <c r="P195" s="31" t="s">
        <v>285</v>
      </c>
      <c r="Q195" s="32" t="s">
        <v>313</v>
      </c>
      <c r="R195" s="32" t="s">
        <v>329</v>
      </c>
      <c r="S195" s="31" t="s">
        <v>531</v>
      </c>
      <c r="T195" s="31" t="s">
        <v>1395</v>
      </c>
      <c r="U195" s="31">
        <v>10</v>
      </c>
      <c r="V195" s="57">
        <f t="shared" ref="V195:V196" si="25">+U195</f>
        <v>10</v>
      </c>
      <c r="W195" s="57" t="str">
        <f t="shared" si="24"/>
        <v>L</v>
      </c>
      <c r="X195" s="31" t="s">
        <v>131</v>
      </c>
      <c r="Y195" s="31" t="s">
        <v>388</v>
      </c>
      <c r="Z195" s="31" t="s">
        <v>21</v>
      </c>
      <c r="AA195" s="31" t="s">
        <v>903</v>
      </c>
      <c r="AB195" s="31">
        <v>10</v>
      </c>
      <c r="AC195" s="15">
        <f t="shared" ref="AC195:AC200" si="26">+AB195</f>
        <v>10</v>
      </c>
      <c r="AD195" s="15" t="str">
        <f t="shared" ref="AD195:AD201" si="27">+IF(AC195&lt;6,"S","L")</f>
        <v>L</v>
      </c>
      <c r="AE195" s="31" t="s">
        <v>511</v>
      </c>
      <c r="AF195" s="31" t="s">
        <v>14</v>
      </c>
      <c r="AG195" s="33">
        <f>78+84</f>
        <v>162</v>
      </c>
      <c r="AH195" s="33">
        <v>78</v>
      </c>
      <c r="AI195" s="33"/>
      <c r="AJ195" s="33"/>
      <c r="AK195" s="33"/>
      <c r="AL195" s="44">
        <v>51</v>
      </c>
      <c r="AM195" s="33">
        <v>49</v>
      </c>
      <c r="AN195" s="44">
        <v>2</v>
      </c>
      <c r="AO195" s="44">
        <v>40</v>
      </c>
      <c r="AP195" s="33">
        <v>37</v>
      </c>
      <c r="AQ195" s="33">
        <v>3</v>
      </c>
      <c r="AR195" s="33"/>
      <c r="AS195" s="33">
        <v>6</v>
      </c>
      <c r="AT195" s="33"/>
      <c r="AU195" s="33"/>
      <c r="AV195" s="33"/>
      <c r="AW195" s="33"/>
      <c r="AX195" s="33"/>
      <c r="AY195" s="33"/>
      <c r="AZ195" s="33"/>
      <c r="BA195" s="33">
        <v>84</v>
      </c>
      <c r="BB195" s="33"/>
      <c r="BC195" s="33"/>
      <c r="BD195" s="33"/>
      <c r="BE195" s="44">
        <v>55</v>
      </c>
      <c r="BF195" s="33">
        <v>55</v>
      </c>
      <c r="BG195" s="44">
        <v>0</v>
      </c>
      <c r="BH195" s="33">
        <v>34</v>
      </c>
      <c r="BI195" s="33">
        <v>32</v>
      </c>
      <c r="BJ195" s="33">
        <v>2</v>
      </c>
      <c r="BK195" s="33"/>
      <c r="BL195" s="33">
        <v>3</v>
      </c>
      <c r="BM195" s="33"/>
      <c r="BN195" s="33"/>
      <c r="BO195" s="33"/>
      <c r="BP195" s="33"/>
      <c r="BQ195" s="33"/>
      <c r="BR195" s="33"/>
      <c r="BS195" s="33"/>
      <c r="BT195" s="33">
        <v>111</v>
      </c>
      <c r="BU195" s="44">
        <f>111*0.38</f>
        <v>42.18</v>
      </c>
      <c r="BV195" s="44">
        <f>111*0.18</f>
        <v>19.98</v>
      </c>
      <c r="BW195" s="33"/>
      <c r="BX195" s="33"/>
      <c r="BY195" s="33"/>
      <c r="BZ195" s="33"/>
      <c r="CA195" s="33"/>
      <c r="CB195" s="33"/>
      <c r="CC195" s="33"/>
      <c r="CD195" s="33"/>
      <c r="CE195" s="33"/>
      <c r="CF195" s="33"/>
      <c r="CG195" s="33"/>
      <c r="CH195" s="33"/>
      <c r="CI195" s="33"/>
      <c r="CJ195" s="33"/>
      <c r="CK195" s="33"/>
      <c r="CL195" s="33"/>
      <c r="CM195" s="33"/>
      <c r="CN195" s="35"/>
      <c r="CO195" s="35"/>
      <c r="CP195" s="35"/>
      <c r="CQ195" s="35"/>
      <c r="CR195" s="35"/>
      <c r="CS195" s="35"/>
      <c r="CT195" s="35"/>
      <c r="CU195" s="35"/>
      <c r="CV195" s="35"/>
      <c r="CW195" s="35"/>
      <c r="CX195" s="35"/>
      <c r="CY195" s="35"/>
    </row>
    <row r="196" spans="1:103" s="36" customFormat="1" x14ac:dyDescent="0.2">
      <c r="A196" s="58">
        <v>182</v>
      </c>
      <c r="B196" s="14" t="s">
        <v>1429</v>
      </c>
      <c r="C196" s="30" t="s">
        <v>79</v>
      </c>
      <c r="D196" s="31" t="s">
        <v>344</v>
      </c>
      <c r="E196" s="31" t="s">
        <v>345</v>
      </c>
      <c r="F196" s="31">
        <v>2001</v>
      </c>
      <c r="G196" s="32" t="s">
        <v>345</v>
      </c>
      <c r="H196" s="32"/>
      <c r="I196" s="31" t="s">
        <v>8</v>
      </c>
      <c r="J196" s="31" t="s">
        <v>130</v>
      </c>
      <c r="K196" s="31" t="s">
        <v>366</v>
      </c>
      <c r="L196" s="15" t="s">
        <v>68</v>
      </c>
      <c r="M196" s="15" t="s">
        <v>25</v>
      </c>
      <c r="N196" s="15" t="s">
        <v>201</v>
      </c>
      <c r="O196" s="31" t="s">
        <v>411</v>
      </c>
      <c r="P196" s="31" t="s">
        <v>221</v>
      </c>
      <c r="Q196" s="32" t="s">
        <v>313</v>
      </c>
      <c r="R196" s="32" t="s">
        <v>346</v>
      </c>
      <c r="S196" s="31" t="s">
        <v>531</v>
      </c>
      <c r="T196" s="31" t="s">
        <v>1396</v>
      </c>
      <c r="U196" s="31">
        <v>5</v>
      </c>
      <c r="V196" s="57">
        <f t="shared" si="25"/>
        <v>5</v>
      </c>
      <c r="W196" s="57" t="str">
        <f t="shared" si="24"/>
        <v>S</v>
      </c>
      <c r="X196" s="31" t="s">
        <v>131</v>
      </c>
      <c r="Y196" s="31" t="s">
        <v>388</v>
      </c>
      <c r="Z196" s="31" t="s">
        <v>152</v>
      </c>
      <c r="AA196" s="31" t="s">
        <v>692</v>
      </c>
      <c r="AB196" s="31">
        <v>5</v>
      </c>
      <c r="AC196" s="15">
        <f t="shared" si="26"/>
        <v>5</v>
      </c>
      <c r="AD196" s="15" t="str">
        <f t="shared" si="27"/>
        <v>S</v>
      </c>
      <c r="AE196" s="31" t="s">
        <v>511</v>
      </c>
      <c r="AF196" s="31" t="s">
        <v>14</v>
      </c>
      <c r="AG196" s="33">
        <f>184+194</f>
        <v>378</v>
      </c>
      <c r="AH196" s="33">
        <v>184</v>
      </c>
      <c r="AI196" s="33">
        <v>184</v>
      </c>
      <c r="AJ196" s="33">
        <v>157</v>
      </c>
      <c r="AK196" s="33">
        <f>+AI196-AJ196</f>
        <v>27</v>
      </c>
      <c r="AL196" s="44">
        <v>157</v>
      </c>
      <c r="AM196" s="33">
        <v>137</v>
      </c>
      <c r="AN196" s="44">
        <v>20</v>
      </c>
      <c r="AO196" s="44"/>
      <c r="AP196" s="33"/>
      <c r="AQ196" s="33"/>
      <c r="AR196" s="33"/>
      <c r="AS196" s="33">
        <v>41</v>
      </c>
      <c r="AT196" s="33"/>
      <c r="AU196" s="33"/>
      <c r="AV196" s="33"/>
      <c r="AW196" s="33">
        <v>19</v>
      </c>
      <c r="AX196" s="33">
        <v>10.7</v>
      </c>
      <c r="AY196" s="33">
        <v>14</v>
      </c>
      <c r="AZ196" s="33"/>
      <c r="BA196" s="33">
        <v>194</v>
      </c>
      <c r="BB196" s="33">
        <v>194</v>
      </c>
      <c r="BC196" s="33">
        <v>169</v>
      </c>
      <c r="BD196" s="33">
        <v>19</v>
      </c>
      <c r="BE196" s="44">
        <v>166</v>
      </c>
      <c r="BF196" s="33">
        <v>148</v>
      </c>
      <c r="BG196" s="44">
        <v>18</v>
      </c>
      <c r="BH196" s="33"/>
      <c r="BI196" s="33"/>
      <c r="BJ196" s="33"/>
      <c r="BK196" s="33"/>
      <c r="BL196" s="33">
        <v>34</v>
      </c>
      <c r="BM196" s="33"/>
      <c r="BN196" s="33"/>
      <c r="BO196" s="33"/>
      <c r="BP196" s="33">
        <v>17</v>
      </c>
      <c r="BQ196" s="33">
        <v>11.3</v>
      </c>
      <c r="BR196" s="33">
        <v>14</v>
      </c>
      <c r="BS196" s="33"/>
      <c r="BT196" s="33">
        <f>56+61+15+13+6+4+6+9</f>
        <v>170</v>
      </c>
      <c r="BU196" s="33">
        <f>53+63</f>
        <v>116</v>
      </c>
      <c r="BV196" s="33">
        <f>15+13</f>
        <v>28</v>
      </c>
      <c r="BW196" s="33"/>
      <c r="BX196" s="33"/>
      <c r="BY196" s="33"/>
      <c r="BZ196" s="33">
        <v>9</v>
      </c>
      <c r="CA196" s="33"/>
      <c r="CB196" s="33"/>
      <c r="CC196" s="33"/>
      <c r="CD196" s="33"/>
      <c r="CE196" s="33"/>
      <c r="CF196" s="33"/>
      <c r="CG196" s="33"/>
      <c r="CH196" s="33"/>
      <c r="CI196" s="33"/>
      <c r="CJ196" s="33"/>
      <c r="CK196" s="33"/>
      <c r="CL196" s="33"/>
      <c r="CM196" s="33"/>
      <c r="CN196" s="35"/>
      <c r="CO196" s="35"/>
      <c r="CP196" s="35"/>
      <c r="CQ196" s="35"/>
      <c r="CR196" s="35"/>
      <c r="CS196" s="35"/>
      <c r="CT196" s="35"/>
      <c r="CU196" s="35"/>
      <c r="CV196" s="35"/>
      <c r="CW196" s="35"/>
      <c r="CX196" s="35"/>
      <c r="CY196" s="35"/>
    </row>
    <row r="197" spans="1:103" s="36" customFormat="1" x14ac:dyDescent="0.2">
      <c r="A197" s="58">
        <v>183</v>
      </c>
      <c r="B197" s="14" t="s">
        <v>1429</v>
      </c>
      <c r="C197" s="30" t="s">
        <v>79</v>
      </c>
      <c r="D197" s="31" t="s">
        <v>204</v>
      </c>
      <c r="E197" s="31" t="s">
        <v>1376</v>
      </c>
      <c r="F197" s="31">
        <v>1999</v>
      </c>
      <c r="G197" s="32" t="s">
        <v>1376</v>
      </c>
      <c r="H197" s="32"/>
      <c r="I197" s="31" t="s">
        <v>8</v>
      </c>
      <c r="J197" s="31" t="s">
        <v>1385</v>
      </c>
      <c r="K197" s="31" t="s">
        <v>1473</v>
      </c>
      <c r="L197" s="31" t="s">
        <v>31</v>
      </c>
      <c r="M197" s="31" t="s">
        <v>333</v>
      </c>
      <c r="N197" s="31" t="s">
        <v>201</v>
      </c>
      <c r="O197" s="31" t="s">
        <v>404</v>
      </c>
      <c r="P197" s="31" t="s">
        <v>285</v>
      </c>
      <c r="Q197" s="32" t="s">
        <v>313</v>
      </c>
      <c r="R197" s="32" t="s">
        <v>353</v>
      </c>
      <c r="S197" s="31" t="s">
        <v>531</v>
      </c>
      <c r="T197" s="31" t="s">
        <v>1397</v>
      </c>
      <c r="U197" s="31" t="s">
        <v>548</v>
      </c>
      <c r="V197" s="57">
        <v>7</v>
      </c>
      <c r="W197" s="57" t="str">
        <f t="shared" si="24"/>
        <v>L</v>
      </c>
      <c r="X197" s="31" t="s">
        <v>131</v>
      </c>
      <c r="Y197" s="31" t="s">
        <v>388</v>
      </c>
      <c r="Z197" s="31" t="s">
        <v>33</v>
      </c>
      <c r="AA197" s="31" t="s">
        <v>903</v>
      </c>
      <c r="AB197" s="31" t="s">
        <v>548</v>
      </c>
      <c r="AC197" s="15">
        <v>10</v>
      </c>
      <c r="AD197" s="15" t="str">
        <f t="shared" si="27"/>
        <v>L</v>
      </c>
      <c r="AE197" s="31" t="s">
        <v>13</v>
      </c>
      <c r="AF197" s="31" t="s">
        <v>14</v>
      </c>
      <c r="AG197" s="33">
        <f>177+168</f>
        <v>345</v>
      </c>
      <c r="AH197" s="33">
        <v>168</v>
      </c>
      <c r="AI197" s="33">
        <v>168</v>
      </c>
      <c r="AJ197" s="33">
        <v>144</v>
      </c>
      <c r="AK197" s="33">
        <v>24</v>
      </c>
      <c r="AL197" s="44">
        <v>149</v>
      </c>
      <c r="AM197" s="33">
        <v>141</v>
      </c>
      <c r="AN197" s="44">
        <v>7</v>
      </c>
      <c r="AO197" s="44">
        <v>32</v>
      </c>
      <c r="AP197" s="33">
        <v>30</v>
      </c>
      <c r="AQ197" s="33">
        <v>2</v>
      </c>
      <c r="AR197" s="33"/>
      <c r="AS197" s="33">
        <v>71</v>
      </c>
      <c r="AT197" s="33"/>
      <c r="AU197" s="33">
        <v>6</v>
      </c>
      <c r="AV197" s="33"/>
      <c r="AW197" s="33">
        <v>2</v>
      </c>
      <c r="AX197" s="33"/>
      <c r="AY197" s="33"/>
      <c r="AZ197" s="33"/>
      <c r="BA197" s="33">
        <v>177</v>
      </c>
      <c r="BB197" s="33">
        <v>177</v>
      </c>
      <c r="BC197" s="33">
        <v>142</v>
      </c>
      <c r="BD197" s="33">
        <v>35</v>
      </c>
      <c r="BE197" s="44">
        <v>146</v>
      </c>
      <c r="BF197" s="33">
        <v>137</v>
      </c>
      <c r="BG197" s="44">
        <v>9</v>
      </c>
      <c r="BH197" s="33">
        <v>43</v>
      </c>
      <c r="BI197" s="33">
        <v>43</v>
      </c>
      <c r="BJ197" s="33">
        <v>0</v>
      </c>
      <c r="BK197" s="33"/>
      <c r="BL197" s="33">
        <v>74</v>
      </c>
      <c r="BM197" s="33"/>
      <c r="BN197" s="33">
        <v>11</v>
      </c>
      <c r="BO197" s="33"/>
      <c r="BP197" s="33">
        <v>0</v>
      </c>
      <c r="BQ197" s="33"/>
      <c r="BR197" s="33"/>
      <c r="BS197" s="33"/>
      <c r="BT197" s="33">
        <f>49+61</f>
        <v>110</v>
      </c>
      <c r="BU197" s="33">
        <f>19+28</f>
        <v>47</v>
      </c>
      <c r="BV197" s="33">
        <f>17+17</f>
        <v>34</v>
      </c>
      <c r="BW197" s="33">
        <v>1</v>
      </c>
      <c r="BX197" s="33">
        <v>2</v>
      </c>
      <c r="BY197" s="33">
        <v>9</v>
      </c>
      <c r="BZ197" s="33"/>
      <c r="CA197" s="33"/>
      <c r="CB197" s="33"/>
      <c r="CC197" s="33"/>
      <c r="CD197" s="33"/>
      <c r="CE197" s="33"/>
      <c r="CF197" s="33"/>
      <c r="CG197" s="33"/>
      <c r="CH197" s="33"/>
      <c r="CI197" s="33"/>
      <c r="CJ197" s="33"/>
      <c r="CK197" s="33"/>
      <c r="CL197" s="33"/>
      <c r="CM197" s="33"/>
      <c r="CN197" s="35"/>
      <c r="CO197" s="35"/>
      <c r="CP197" s="35"/>
      <c r="CQ197" s="35"/>
      <c r="CR197" s="35"/>
      <c r="CS197" s="35"/>
      <c r="CT197" s="35"/>
      <c r="CU197" s="35"/>
      <c r="CV197" s="35"/>
      <c r="CW197" s="35"/>
      <c r="CX197" s="35"/>
      <c r="CY197" s="35"/>
    </row>
    <row r="198" spans="1:103" s="36" customFormat="1" x14ac:dyDescent="0.2">
      <c r="A198" s="58">
        <v>184</v>
      </c>
      <c r="B198" s="14" t="s">
        <v>1429</v>
      </c>
      <c r="C198" s="30" t="s">
        <v>79</v>
      </c>
      <c r="D198" s="31" t="s">
        <v>204</v>
      </c>
      <c r="E198" s="31" t="s">
        <v>1376</v>
      </c>
      <c r="F198" s="31">
        <v>1999</v>
      </c>
      <c r="G198" s="32" t="s">
        <v>1376</v>
      </c>
      <c r="H198" s="32"/>
      <c r="I198" s="31" t="s">
        <v>8</v>
      </c>
      <c r="J198" s="31" t="s">
        <v>1385</v>
      </c>
      <c r="K198" s="31" t="s">
        <v>1473</v>
      </c>
      <c r="L198" s="31" t="s">
        <v>31</v>
      </c>
      <c r="M198" s="31" t="s">
        <v>333</v>
      </c>
      <c r="N198" s="31" t="s">
        <v>201</v>
      </c>
      <c r="O198" s="31" t="s">
        <v>404</v>
      </c>
      <c r="P198" s="31" t="s">
        <v>285</v>
      </c>
      <c r="Q198" s="32" t="s">
        <v>313</v>
      </c>
      <c r="R198" s="32" t="s">
        <v>353</v>
      </c>
      <c r="S198" s="31" t="s">
        <v>33</v>
      </c>
      <c r="T198" s="31" t="s">
        <v>1398</v>
      </c>
      <c r="U198" s="31" t="s">
        <v>548</v>
      </c>
      <c r="V198" s="57">
        <v>10</v>
      </c>
      <c r="W198" s="57" t="str">
        <f t="shared" si="24"/>
        <v>L</v>
      </c>
      <c r="X198" s="31" t="s">
        <v>13</v>
      </c>
      <c r="Y198" s="31" t="s">
        <v>14</v>
      </c>
      <c r="Z198" s="31" t="s">
        <v>33</v>
      </c>
      <c r="AA198" s="31" t="s">
        <v>903</v>
      </c>
      <c r="AB198" s="31" t="s">
        <v>548</v>
      </c>
      <c r="AC198" s="15">
        <v>10</v>
      </c>
      <c r="AD198" s="15" t="str">
        <f t="shared" si="27"/>
        <v>L</v>
      </c>
      <c r="AE198" s="31" t="s">
        <v>13</v>
      </c>
      <c r="AF198" s="31" t="s">
        <v>14</v>
      </c>
      <c r="AG198" s="33">
        <f>177+171</f>
        <v>348</v>
      </c>
      <c r="AH198" s="33">
        <v>171</v>
      </c>
      <c r="AI198" s="33">
        <v>171</v>
      </c>
      <c r="AJ198" s="33">
        <v>144</v>
      </c>
      <c r="AK198" s="33">
        <v>27</v>
      </c>
      <c r="AL198" s="44">
        <v>145</v>
      </c>
      <c r="AM198" s="33">
        <v>138</v>
      </c>
      <c r="AN198" s="44">
        <v>7</v>
      </c>
      <c r="AO198" s="44">
        <v>39</v>
      </c>
      <c r="AP198" s="33">
        <v>37</v>
      </c>
      <c r="AQ198" s="33">
        <v>2</v>
      </c>
      <c r="AR198" s="33"/>
      <c r="AS198" s="33">
        <v>67</v>
      </c>
      <c r="AT198" s="33"/>
      <c r="AU198" s="33">
        <v>7</v>
      </c>
      <c r="AV198" s="33"/>
      <c r="AW198" s="33">
        <v>0</v>
      </c>
      <c r="AX198" s="33"/>
      <c r="AY198" s="33"/>
      <c r="AZ198" s="33"/>
      <c r="BA198" s="33">
        <v>177</v>
      </c>
      <c r="BB198" s="33">
        <v>177</v>
      </c>
      <c r="BC198" s="33">
        <v>142</v>
      </c>
      <c r="BD198" s="33">
        <v>35</v>
      </c>
      <c r="BE198" s="44">
        <v>146</v>
      </c>
      <c r="BF198" s="33">
        <v>137</v>
      </c>
      <c r="BG198" s="44">
        <v>9</v>
      </c>
      <c r="BH198" s="33">
        <v>43</v>
      </c>
      <c r="BI198" s="33">
        <v>43</v>
      </c>
      <c r="BJ198" s="33">
        <v>0</v>
      </c>
      <c r="BK198" s="33"/>
      <c r="BL198" s="33">
        <v>74</v>
      </c>
      <c r="BM198" s="33"/>
      <c r="BN198" s="33">
        <v>11</v>
      </c>
      <c r="BO198" s="33"/>
      <c r="BP198" s="33">
        <v>0</v>
      </c>
      <c r="BQ198" s="33"/>
      <c r="BR198" s="33"/>
      <c r="BS198" s="33"/>
      <c r="BT198" s="33">
        <f>61+51</f>
        <v>112</v>
      </c>
      <c r="BU198" s="33">
        <f>16+28</f>
        <v>44</v>
      </c>
      <c r="BV198" s="33">
        <f>21+17</f>
        <v>38</v>
      </c>
      <c r="BW198" s="33">
        <v>4</v>
      </c>
      <c r="BX198" s="33">
        <v>2</v>
      </c>
      <c r="BY198" s="33">
        <v>5</v>
      </c>
      <c r="BZ198" s="33"/>
      <c r="CA198" s="33"/>
      <c r="CB198" s="33"/>
      <c r="CC198" s="33"/>
      <c r="CD198" s="33"/>
      <c r="CE198" s="33"/>
      <c r="CF198" s="33"/>
      <c r="CG198" s="33"/>
      <c r="CH198" s="33"/>
      <c r="CI198" s="33"/>
      <c r="CJ198" s="33"/>
      <c r="CK198" s="33"/>
      <c r="CL198" s="33"/>
      <c r="CM198" s="33"/>
      <c r="CN198" s="35"/>
      <c r="CO198" s="35"/>
      <c r="CP198" s="35"/>
      <c r="CQ198" s="35"/>
      <c r="CR198" s="35"/>
      <c r="CS198" s="35"/>
      <c r="CT198" s="35"/>
      <c r="CU198" s="35"/>
      <c r="CV198" s="35"/>
      <c r="CW198" s="35"/>
      <c r="CX198" s="35"/>
      <c r="CY198" s="35"/>
    </row>
    <row r="199" spans="1:103" s="36" customFormat="1" x14ac:dyDescent="0.2">
      <c r="A199" s="58">
        <v>185</v>
      </c>
      <c r="B199" s="14" t="s">
        <v>1429</v>
      </c>
      <c r="C199" s="30" t="s">
        <v>79</v>
      </c>
      <c r="D199" s="31" t="s">
        <v>1382</v>
      </c>
      <c r="E199" s="31" t="s">
        <v>361</v>
      </c>
      <c r="F199" s="31">
        <v>1983</v>
      </c>
      <c r="G199" s="32" t="s">
        <v>361</v>
      </c>
      <c r="H199" s="32"/>
      <c r="I199" s="31" t="s">
        <v>8</v>
      </c>
      <c r="J199" s="31" t="s">
        <v>189</v>
      </c>
      <c r="K199" s="31" t="s">
        <v>366</v>
      </c>
      <c r="L199" s="31" t="s">
        <v>31</v>
      </c>
      <c r="M199" s="15" t="s">
        <v>25</v>
      </c>
      <c r="N199" s="31" t="s">
        <v>201</v>
      </c>
      <c r="O199" s="31" t="s">
        <v>404</v>
      </c>
      <c r="P199" s="31" t="s">
        <v>221</v>
      </c>
      <c r="Q199" s="32" t="s">
        <v>313</v>
      </c>
      <c r="R199" s="32" t="s">
        <v>362</v>
      </c>
      <c r="S199" s="31" t="s">
        <v>23</v>
      </c>
      <c r="T199" s="31" t="s">
        <v>1399</v>
      </c>
      <c r="U199" s="31">
        <v>7</v>
      </c>
      <c r="V199" s="57">
        <v>7</v>
      </c>
      <c r="W199" s="57" t="str">
        <f t="shared" ref="W199:W201" si="28">+IF(V199&lt;6,"S","L")</f>
        <v>L</v>
      </c>
      <c r="X199" s="31" t="s">
        <v>131</v>
      </c>
      <c r="Y199" s="31" t="s">
        <v>388</v>
      </c>
      <c r="Z199" s="31" t="s">
        <v>67</v>
      </c>
      <c r="AA199" s="54" t="s">
        <v>1186</v>
      </c>
      <c r="AB199" s="31">
        <v>7</v>
      </c>
      <c r="AC199" s="15">
        <f t="shared" si="26"/>
        <v>7</v>
      </c>
      <c r="AD199" s="15" t="str">
        <f t="shared" si="27"/>
        <v>L</v>
      </c>
      <c r="AE199" s="31" t="s">
        <v>511</v>
      </c>
      <c r="AF199" s="31" t="s">
        <v>14</v>
      </c>
      <c r="AG199" s="33">
        <f>18+16</f>
        <v>34</v>
      </c>
      <c r="AH199" s="33">
        <v>18</v>
      </c>
      <c r="AI199" s="33">
        <v>18</v>
      </c>
      <c r="AJ199" s="33">
        <v>18</v>
      </c>
      <c r="AK199" s="33">
        <v>0</v>
      </c>
      <c r="AL199" s="44">
        <v>18</v>
      </c>
      <c r="AM199" s="33">
        <v>18</v>
      </c>
      <c r="AN199" s="44">
        <v>0</v>
      </c>
      <c r="AO199" s="44"/>
      <c r="AP199" s="33"/>
      <c r="AQ199" s="33"/>
      <c r="AR199" s="33"/>
      <c r="AS199" s="33">
        <v>2</v>
      </c>
      <c r="AT199" s="33"/>
      <c r="AU199" s="33"/>
      <c r="AV199" s="33"/>
      <c r="AW199" s="33"/>
      <c r="AX199" s="33"/>
      <c r="AY199" s="33"/>
      <c r="AZ199" s="33"/>
      <c r="BA199" s="33">
        <v>16</v>
      </c>
      <c r="BB199" s="33">
        <v>16</v>
      </c>
      <c r="BC199" s="33">
        <v>15</v>
      </c>
      <c r="BD199" s="33">
        <v>1</v>
      </c>
      <c r="BE199" s="44">
        <v>16</v>
      </c>
      <c r="BF199" s="33">
        <v>15</v>
      </c>
      <c r="BG199" s="44">
        <v>1</v>
      </c>
      <c r="BH199" s="33"/>
      <c r="BI199" s="33"/>
      <c r="BJ199" s="33"/>
      <c r="BK199" s="33"/>
      <c r="BL199" s="33">
        <v>1</v>
      </c>
      <c r="BM199" s="33"/>
      <c r="BN199" s="33"/>
      <c r="BO199" s="33"/>
      <c r="BP199" s="33"/>
      <c r="BQ199" s="33"/>
      <c r="BR199" s="33"/>
      <c r="BS199" s="33"/>
      <c r="BT199" s="33">
        <f>1+21+7+3+4+2+1+2+1+3</f>
        <v>45</v>
      </c>
      <c r="BU199" s="33">
        <v>10</v>
      </c>
      <c r="BV199" s="33">
        <v>2</v>
      </c>
      <c r="BW199" s="33">
        <v>6</v>
      </c>
      <c r="BX199" s="33">
        <v>2</v>
      </c>
      <c r="BY199" s="33">
        <v>1</v>
      </c>
      <c r="BZ199" s="33"/>
      <c r="CA199" s="33"/>
      <c r="CB199" s="33"/>
      <c r="CC199" s="33"/>
      <c r="CD199" s="33"/>
      <c r="CE199" s="33"/>
      <c r="CF199" s="33"/>
      <c r="CG199" s="33"/>
      <c r="CH199" s="33"/>
      <c r="CI199" s="33"/>
      <c r="CJ199" s="33"/>
      <c r="CK199" s="33"/>
      <c r="CL199" s="33"/>
      <c r="CM199" s="33"/>
      <c r="CN199" s="35"/>
      <c r="CO199" s="35"/>
      <c r="CP199" s="35"/>
      <c r="CQ199" s="35"/>
      <c r="CR199" s="35"/>
      <c r="CS199" s="35"/>
      <c r="CT199" s="35"/>
      <c r="CU199" s="35"/>
      <c r="CV199" s="35"/>
      <c r="CW199" s="35"/>
      <c r="CX199" s="35"/>
      <c r="CY199" s="35"/>
    </row>
    <row r="200" spans="1:103" s="36" customFormat="1" x14ac:dyDescent="0.2">
      <c r="A200" s="58">
        <v>186</v>
      </c>
      <c r="B200" s="14" t="s">
        <v>1429</v>
      </c>
      <c r="C200" s="30" t="s">
        <v>79</v>
      </c>
      <c r="D200" s="31" t="s">
        <v>1372</v>
      </c>
      <c r="E200" s="31" t="s">
        <v>370</v>
      </c>
      <c r="F200" s="31">
        <v>1992</v>
      </c>
      <c r="G200" s="32" t="s">
        <v>370</v>
      </c>
      <c r="H200" s="32"/>
      <c r="I200" s="31" t="s">
        <v>8</v>
      </c>
      <c r="J200" s="32" t="s">
        <v>372</v>
      </c>
      <c r="K200" s="32" t="s">
        <v>1473</v>
      </c>
      <c r="L200" s="31" t="s">
        <v>31</v>
      </c>
      <c r="M200" s="15" t="s">
        <v>25</v>
      </c>
      <c r="N200" s="31" t="s">
        <v>201</v>
      </c>
      <c r="O200" s="31" t="s">
        <v>404</v>
      </c>
      <c r="P200" s="31" t="s">
        <v>285</v>
      </c>
      <c r="Q200" s="32" t="s">
        <v>313</v>
      </c>
      <c r="R200" s="32" t="s">
        <v>371</v>
      </c>
      <c r="S200" s="31" t="s">
        <v>23</v>
      </c>
      <c r="T200" s="31" t="s">
        <v>1186</v>
      </c>
      <c r="U200" s="31" t="s">
        <v>845</v>
      </c>
      <c r="V200" s="57">
        <v>10</v>
      </c>
      <c r="W200" s="57" t="str">
        <f t="shared" si="28"/>
        <v>L</v>
      </c>
      <c r="X200" s="31" t="s">
        <v>131</v>
      </c>
      <c r="Y200" s="31" t="s">
        <v>388</v>
      </c>
      <c r="Z200" s="31" t="s">
        <v>373</v>
      </c>
      <c r="AA200" s="31" t="s">
        <v>1125</v>
      </c>
      <c r="AB200" s="31">
        <v>10</v>
      </c>
      <c r="AC200" s="15">
        <f t="shared" si="26"/>
        <v>10</v>
      </c>
      <c r="AD200" s="15" t="str">
        <f t="shared" si="27"/>
        <v>L</v>
      </c>
      <c r="AE200" s="31" t="s">
        <v>1400</v>
      </c>
      <c r="AF200" s="31" t="s">
        <v>14</v>
      </c>
      <c r="AG200" s="33">
        <v>336</v>
      </c>
      <c r="AH200" s="33">
        <v>167</v>
      </c>
      <c r="AI200" s="33">
        <v>167</v>
      </c>
      <c r="AJ200" s="33"/>
      <c r="AK200" s="33"/>
      <c r="AL200" s="44">
        <v>40</v>
      </c>
      <c r="AM200" s="33">
        <v>38</v>
      </c>
      <c r="AN200" s="44">
        <v>2</v>
      </c>
      <c r="AO200" s="44">
        <v>40</v>
      </c>
      <c r="AP200" s="33">
        <v>28</v>
      </c>
      <c r="AQ200" s="33">
        <v>12</v>
      </c>
      <c r="AR200" s="33"/>
      <c r="AS200" s="33">
        <v>43</v>
      </c>
      <c r="AT200" s="33"/>
      <c r="AU200" s="33"/>
      <c r="AV200" s="33"/>
      <c r="AW200" s="33"/>
      <c r="AX200" s="33"/>
      <c r="AY200" s="33"/>
      <c r="AZ200" s="33"/>
      <c r="BA200" s="33">
        <v>169</v>
      </c>
      <c r="BB200" s="33"/>
      <c r="BC200" s="33"/>
      <c r="BD200" s="33"/>
      <c r="BE200" s="44">
        <v>44</v>
      </c>
      <c r="BF200" s="33">
        <v>42</v>
      </c>
      <c r="BG200" s="44">
        <v>2</v>
      </c>
      <c r="BH200" s="33">
        <v>44</v>
      </c>
      <c r="BI200" s="33">
        <v>36</v>
      </c>
      <c r="BJ200" s="33">
        <v>8</v>
      </c>
      <c r="BK200" s="33"/>
      <c r="BL200" s="33">
        <v>42</v>
      </c>
      <c r="BM200" s="33"/>
      <c r="BN200" s="33"/>
      <c r="BO200" s="33"/>
      <c r="BP200" s="33"/>
      <c r="BQ200" s="33"/>
      <c r="BR200" s="33"/>
      <c r="BS200" s="33"/>
      <c r="BT200" s="33">
        <f>44+40</f>
        <v>84</v>
      </c>
      <c r="BU200" s="33">
        <f>16+17</f>
        <v>33</v>
      </c>
      <c r="BV200" s="33">
        <f>17+12+2</f>
        <v>31</v>
      </c>
      <c r="BW200" s="33"/>
      <c r="BX200" s="33"/>
      <c r="BY200" s="33">
        <v>2</v>
      </c>
      <c r="BZ200" s="33"/>
      <c r="CA200" s="33"/>
      <c r="CB200" s="33"/>
      <c r="CC200" s="33"/>
      <c r="CD200" s="33"/>
      <c r="CE200" s="33"/>
      <c r="CF200" s="33"/>
      <c r="CG200" s="33"/>
      <c r="CH200" s="33"/>
      <c r="CI200" s="33"/>
      <c r="CJ200" s="33"/>
      <c r="CK200" s="33"/>
      <c r="CL200" s="33"/>
      <c r="CM200" s="33"/>
      <c r="CN200" s="35"/>
      <c r="CO200" s="35"/>
      <c r="CP200" s="35"/>
      <c r="CQ200" s="35"/>
      <c r="CR200" s="35"/>
      <c r="CS200" s="35"/>
      <c r="CT200" s="35"/>
      <c r="CU200" s="35"/>
      <c r="CV200" s="35"/>
      <c r="CW200" s="35"/>
      <c r="CX200" s="35"/>
      <c r="CY200" s="35"/>
    </row>
    <row r="201" spans="1:103" s="36" customFormat="1" x14ac:dyDescent="0.2">
      <c r="A201" s="58">
        <v>187</v>
      </c>
      <c r="B201" s="14" t="s">
        <v>1429</v>
      </c>
      <c r="C201" s="30" t="s">
        <v>79</v>
      </c>
      <c r="D201" s="31" t="s">
        <v>380</v>
      </c>
      <c r="E201" s="31" t="s">
        <v>381</v>
      </c>
      <c r="F201" s="31">
        <v>2005</v>
      </c>
      <c r="G201" s="32" t="s">
        <v>381</v>
      </c>
      <c r="H201" s="32"/>
      <c r="I201" s="31" t="s">
        <v>8</v>
      </c>
      <c r="J201" s="31" t="s">
        <v>109</v>
      </c>
      <c r="K201" s="31" t="s">
        <v>1471</v>
      </c>
      <c r="L201" s="15" t="s">
        <v>68</v>
      </c>
      <c r="M201" s="31" t="s">
        <v>333</v>
      </c>
      <c r="N201" s="31" t="s">
        <v>201</v>
      </c>
      <c r="O201" s="31" t="s">
        <v>404</v>
      </c>
      <c r="P201" s="31" t="s">
        <v>167</v>
      </c>
      <c r="Q201" s="32" t="s">
        <v>313</v>
      </c>
      <c r="R201" s="32" t="s">
        <v>382</v>
      </c>
      <c r="S201" s="31" t="s">
        <v>531</v>
      </c>
      <c r="T201" s="32" t="s">
        <v>1401</v>
      </c>
      <c r="U201" s="31">
        <v>8</v>
      </c>
      <c r="V201" s="57">
        <v>7</v>
      </c>
      <c r="W201" s="57" t="str">
        <f t="shared" si="28"/>
        <v>L</v>
      </c>
      <c r="X201" s="31" t="s">
        <v>131</v>
      </c>
      <c r="Y201" s="31" t="s">
        <v>388</v>
      </c>
      <c r="Z201" s="31" t="s">
        <v>152</v>
      </c>
      <c r="AA201" s="31" t="s">
        <v>1402</v>
      </c>
      <c r="AB201" s="31">
        <v>8</v>
      </c>
      <c r="AC201" s="15">
        <v>7</v>
      </c>
      <c r="AD201" s="15" t="str">
        <f t="shared" si="27"/>
        <v>L</v>
      </c>
      <c r="AE201" s="31" t="s">
        <v>511</v>
      </c>
      <c r="AF201" s="31" t="s">
        <v>14</v>
      </c>
      <c r="AG201" s="33">
        <v>50</v>
      </c>
      <c r="AH201" s="33">
        <v>25</v>
      </c>
      <c r="AI201" s="33">
        <v>25</v>
      </c>
      <c r="AJ201" s="33">
        <v>23</v>
      </c>
      <c r="AK201" s="33">
        <v>2</v>
      </c>
      <c r="AL201" s="44">
        <v>25</v>
      </c>
      <c r="AM201" s="33">
        <v>23</v>
      </c>
      <c r="AN201" s="44">
        <v>2</v>
      </c>
      <c r="AO201" s="44">
        <v>10</v>
      </c>
      <c r="AP201" s="33">
        <v>8</v>
      </c>
      <c r="AQ201" s="33">
        <v>2</v>
      </c>
      <c r="AR201" s="33"/>
      <c r="AS201" s="33">
        <v>3</v>
      </c>
      <c r="AT201" s="33"/>
      <c r="AU201" s="33"/>
      <c r="AV201" s="33"/>
      <c r="AW201" s="33">
        <v>0</v>
      </c>
      <c r="AX201" s="33">
        <v>4.0999999999999996</v>
      </c>
      <c r="AY201" s="33"/>
      <c r="AZ201" s="33"/>
      <c r="BA201" s="33">
        <v>25</v>
      </c>
      <c r="BB201" s="33">
        <v>25</v>
      </c>
      <c r="BC201" s="33">
        <v>22</v>
      </c>
      <c r="BD201" s="33">
        <v>3</v>
      </c>
      <c r="BE201" s="44">
        <v>25</v>
      </c>
      <c r="BF201" s="33">
        <v>22</v>
      </c>
      <c r="BG201" s="44">
        <v>3</v>
      </c>
      <c r="BH201" s="33">
        <v>8</v>
      </c>
      <c r="BI201" s="33">
        <v>5</v>
      </c>
      <c r="BJ201" s="33">
        <v>3</v>
      </c>
      <c r="BK201" s="33"/>
      <c r="BL201" s="33">
        <v>3</v>
      </c>
      <c r="BM201" s="33"/>
      <c r="BN201" s="33"/>
      <c r="BO201" s="33"/>
      <c r="BP201" s="33">
        <v>1</v>
      </c>
      <c r="BQ201" s="33">
        <v>8.1999999999999993</v>
      </c>
      <c r="BR201" s="33"/>
      <c r="BS201" s="33"/>
      <c r="BT201" s="33">
        <f>8+7+3</f>
        <v>18</v>
      </c>
      <c r="BU201" s="33">
        <v>8</v>
      </c>
      <c r="BV201" s="33">
        <v>7</v>
      </c>
      <c r="BW201" s="33">
        <v>1</v>
      </c>
      <c r="BX201" s="33"/>
      <c r="BY201" s="33"/>
      <c r="BZ201" s="33"/>
      <c r="CA201" s="33"/>
      <c r="CB201" s="33"/>
      <c r="CC201" s="33"/>
      <c r="CD201" s="33"/>
      <c r="CE201" s="33"/>
      <c r="CF201" s="33"/>
      <c r="CG201" s="33"/>
      <c r="CH201" s="33"/>
      <c r="CI201" s="33"/>
      <c r="CJ201" s="33"/>
      <c r="CK201" s="33"/>
      <c r="CL201" s="33"/>
      <c r="CM201" s="33"/>
      <c r="CN201" s="35"/>
      <c r="CO201" s="35"/>
      <c r="CP201" s="35"/>
      <c r="CQ201" s="35"/>
      <c r="CR201" s="35"/>
      <c r="CS201" s="35"/>
      <c r="CT201" s="35"/>
      <c r="CU201" s="35"/>
      <c r="CV201" s="35"/>
      <c r="CW201" s="35"/>
      <c r="CX201" s="35"/>
      <c r="CY201" s="35"/>
    </row>
    <row r="203" spans="1:103" x14ac:dyDescent="0.2">
      <c r="V203" s="59"/>
    </row>
  </sheetData>
  <autoFilter ref="B1:CD201" xr:uid="{B590797D-F1FB-E94A-8461-3ED61CD3949C}"/>
  <hyperlinks>
    <hyperlink ref="H126" r:id="rId1" xr:uid="{AC81C4D9-0700-124D-99F4-1DD6856FB272}"/>
    <hyperlink ref="H113" r:id="rId2" xr:uid="{66D92E0B-7F7E-0145-B8D9-A4F243487EFB}"/>
    <hyperlink ref="H38" r:id="rId3" xr:uid="{6C7D7A1E-2119-EE43-A5EB-81F22686930B}"/>
    <hyperlink ref="H145" r:id="rId4" xr:uid="{651900D3-394F-F241-B700-56DBC29B494E}"/>
    <hyperlink ref="H25" r:id="rId5" xr:uid="{6F0FC173-7840-D147-8DA8-9AABD2CC0FE0}"/>
    <hyperlink ref="H14" r:id="rId6" xr:uid="{99DCA2F9-D667-DB40-9BFB-60995736F6CC}"/>
    <hyperlink ref="H21" r:id="rId7" xr:uid="{547519B8-CD31-2B48-973E-97101B4953CF}"/>
    <hyperlink ref="H106" r:id="rId8" xr:uid="{546AF978-3B6C-DD43-A8F3-9E32C3A72684}"/>
    <hyperlink ref="H173" r:id="rId9" xr:uid="{C374D59A-6E19-2345-B222-F69FBF3243A6}"/>
    <hyperlink ref="H181" r:id="rId10" xr:uid="{50014747-F6EA-104B-B8AB-8993096291AD}"/>
    <hyperlink ref="H184" r:id="rId11" xr:uid="{9A86C6E5-873F-C148-B9A7-AC10415C8DB0}"/>
    <hyperlink ref="H50" r:id="rId12" xr:uid="{0508BA88-376F-6744-AB0B-BD3775893708}"/>
    <hyperlink ref="H150" r:id="rId13" xr:uid="{AD10879D-29F6-634D-9E10-67F9E7375843}"/>
    <hyperlink ref="H149" r:id="rId14" xr:uid="{5BE9489C-F11E-DE44-BF3D-2BBB31AECF66}"/>
    <hyperlink ref="H130" r:id="rId15" xr:uid="{96D3577C-9854-3E4D-9ADD-42720AF09ED5}"/>
    <hyperlink ref="H153" r:id="rId16" xr:uid="{4F45E67A-0265-6A49-BF96-A9E3B128BBA7}"/>
    <hyperlink ref="H117" r:id="rId17" xr:uid="{624B9805-9B00-C444-85D9-0774D6423030}"/>
    <hyperlink ref="H116" r:id="rId18" xr:uid="{2B18E8FE-DEE7-EF4A-B82C-8307664F0FAA}"/>
    <hyperlink ref="H134" r:id="rId19" xr:uid="{BFBEB819-CF92-A944-9659-84D77CB7D7AB}"/>
    <hyperlink ref="H19" r:id="rId20" xr:uid="{FD3BC2A6-0678-8A40-BFCB-68FB66F9384A}"/>
    <hyperlink ref="H20" r:id="rId21" xr:uid="{E4C9F849-E6DA-B14E-B04A-53E0458D7B18}"/>
    <hyperlink ref="H22" r:id="rId22" xr:uid="{0149805F-E376-BD49-9B8A-9E28D531BB58}"/>
    <hyperlink ref="H48" r:id="rId23" xr:uid="{D37DA026-749B-F742-9DBC-C08EB387E5BA}"/>
    <hyperlink ref="H152" r:id="rId24" xr:uid="{B3D12EB7-A3D6-4C4A-92E3-5D2BC0E39168}"/>
    <hyperlink ref="H80" r:id="rId25" xr:uid="{48A0E0D6-2B5F-FF43-8909-D2AAC06C16B6}"/>
    <hyperlink ref="H49" r:id="rId26" xr:uid="{4304A408-427E-9C40-8890-414E55FC47EB}"/>
    <hyperlink ref="H31" r:id="rId27" xr:uid="{D1D1CD10-FA80-9E49-B191-A4C0CB5E27E9}"/>
    <hyperlink ref="H154" r:id="rId28" xr:uid="{A80F606F-180B-BF48-83D3-71DF271FAD72}"/>
    <hyperlink ref="H155" r:id="rId29" xr:uid="{DFA093BA-7A67-174E-B15C-4E3F51E95C64}"/>
    <hyperlink ref="H81" r:id="rId30" xr:uid="{49642C06-4B1F-B945-BF4B-ADCBB1446610}"/>
    <hyperlink ref="H2" r:id="rId31" xr:uid="{4697203E-5069-1541-8DF4-F36D5DDC7045}"/>
    <hyperlink ref="H3" r:id="rId32" xr:uid="{2C62B7E5-374E-3144-8C42-4F76C51D018C}"/>
    <hyperlink ref="H4" r:id="rId33" xr:uid="{E120B0F5-1F05-F14F-8301-D56085F43041}"/>
    <hyperlink ref="H8" r:id="rId34" xr:uid="{A16BABA9-8DD0-BB4A-980E-D68C958441FC}"/>
    <hyperlink ref="H9" r:id="rId35" location="google_vignette" xr:uid="{6DB9A142-80BD-1345-B599-D9409755E19A}"/>
    <hyperlink ref="H10" r:id="rId36" xr:uid="{3894D329-E17A-A646-B55C-175B91F20BCC}"/>
    <hyperlink ref="H5" r:id="rId37" xr:uid="{3B49BF8A-FAE3-6F46-9B3C-157EFED89635}"/>
    <hyperlink ref="H6" r:id="rId38" xr:uid="{12B1EAE8-ED68-574D-BF49-A556B7C725C3}"/>
    <hyperlink ref="H12" r:id="rId39" xr:uid="{28E9D05B-BCDB-7B47-B70B-9A86D93C9E91}"/>
    <hyperlink ref="H13" r:id="rId40" xr:uid="{5BE9B9B0-3B6D-F649-A29D-815B218C4541}"/>
    <hyperlink ref="H11" r:id="rId41" xr:uid="{5F5E241D-5F81-5E42-935D-0B9DF5A5AD9C}"/>
    <hyperlink ref="H15" r:id="rId42" xr:uid="{5168040C-FAA4-354F-9DEA-7F68365F70AB}"/>
    <hyperlink ref="H16" r:id="rId43" xr:uid="{F959D4BC-50ED-F94A-A52F-E478D417C44A}"/>
    <hyperlink ref="H7" r:id="rId44" xr:uid="{3A87EBA9-3F15-074C-8977-3E04BC15DB55}"/>
    <hyperlink ref="H17" r:id="rId45" xr:uid="{B87A3272-63DB-1C45-9B4A-770781B7F43F}"/>
    <hyperlink ref="H18" r:id="rId46" xr:uid="{BF7F1DFC-8629-5040-97C4-5C04485D4353}"/>
    <hyperlink ref="H23" r:id="rId47" xr:uid="{3E3E855F-AB3B-6541-B057-EE0FBCA8E887}"/>
    <hyperlink ref="H24" r:id="rId48" xr:uid="{FF1419E2-A145-654B-9B58-FA8D3A0BA00F}"/>
    <hyperlink ref="H26" r:id="rId49" xr:uid="{5747770A-ACC5-3841-BCED-E9C4DAEB1922}"/>
    <hyperlink ref="H27" r:id="rId50" xr:uid="{B4B85804-624D-7444-9D3C-646CC6844BA0}"/>
    <hyperlink ref="H28" r:id="rId51" xr:uid="{655071AA-F4F3-A241-81B5-D3D5D233D5AB}"/>
    <hyperlink ref="H29" r:id="rId52" xr:uid="{03B37FE2-35BB-8A46-91BE-C8853852E5BE}"/>
    <hyperlink ref="H30" r:id="rId53" xr:uid="{FF1F0E88-8F81-874F-8902-E0BFED111CFB}"/>
    <hyperlink ref="H32" r:id="rId54" xr:uid="{5B3C7153-B1EA-994E-9B86-374ED5E081FB}"/>
    <hyperlink ref="H33" r:id="rId55" xr:uid="{8AA8ED0C-8BAF-4C43-8F1E-EB028F5554A8}"/>
    <hyperlink ref="H34" r:id="rId56" xr:uid="{FC5A1819-ACE6-0A47-BB24-CFACEF952BA3}"/>
    <hyperlink ref="H35" r:id="rId57" xr:uid="{A56B79B5-F763-EF42-9197-0E05EC9817BB}"/>
    <hyperlink ref="H36" r:id="rId58" xr:uid="{61408421-8D1F-2F4C-8884-DC032882721F}"/>
    <hyperlink ref="H37" r:id="rId59" xr:uid="{7D18C056-AE0C-FE40-88EC-864FE09EB91E}"/>
    <hyperlink ref="H39" r:id="rId60" xr:uid="{A1AB83D9-9D45-ED4E-B086-9B2E55241179}"/>
    <hyperlink ref="H40" r:id="rId61" location="google_vignette" xr:uid="{A701E0C2-F6D5-CF4F-AB99-E9AF94A8B40F}"/>
    <hyperlink ref="H44" r:id="rId62" location=":~:text=Clinical%20success%20rates%20were%20maintained,equally%20effective%20in%20treating%20CAP." xr:uid="{2443A67D-0A38-574A-B9E8-2390FA11406E}"/>
    <hyperlink ref="H42" r:id="rId63" xr:uid="{922A1F26-26C9-F547-9007-B6D7A7024DCA}"/>
    <hyperlink ref="H41" r:id="rId64" xr:uid="{D448CABA-30A2-6540-9B0D-D19000266CEB}"/>
    <hyperlink ref="H43" r:id="rId65" xr:uid="{E54F760A-C5C4-EF45-8D70-0198061CFE78}"/>
    <hyperlink ref="H45" r:id="rId66" location=":~:text=Clinical%20success%20rates%20were%20maintained,equally%20effective%20in%20treating%20CAP." xr:uid="{D2E269A3-B055-514A-AA35-4C0B28A52F73}"/>
    <hyperlink ref="H46" r:id="rId67" xr:uid="{3985C006-93AA-F54A-A777-CDC690DF7D21}"/>
    <hyperlink ref="H47" r:id="rId68" xr:uid="{72B78ABD-F612-3747-BD4A-64429F38984E}"/>
    <hyperlink ref="H51" r:id="rId69" xr:uid="{A9BCDFE2-BA7A-0243-9887-5D7B7CC89433}"/>
    <hyperlink ref="H52" r:id="rId70" xr:uid="{F6151BD7-5EC7-6743-83DC-31C44E82AB49}"/>
    <hyperlink ref="H53" r:id="rId71" xr:uid="{A38305B9-3FA3-424E-8E7B-2CAB3FCE5BE0}"/>
    <hyperlink ref="H54" r:id="rId72" xr:uid="{42C071B7-3BA6-194A-B06E-9EC0C5285A30}"/>
    <hyperlink ref="H55" r:id="rId73" xr:uid="{2D34247D-F553-1447-8B3E-0936779C32F8}"/>
    <hyperlink ref="H59" r:id="rId74" xr:uid="{A34A6017-DD38-214A-BF69-1F5FCBDCA5E5}"/>
    <hyperlink ref="H58" r:id="rId75" xr:uid="{C9808406-09DE-D74F-A039-8B5FE9C40776}"/>
    <hyperlink ref="H56" r:id="rId76" xr:uid="{1B059CC4-5013-244F-9576-1BB516A296CC}"/>
    <hyperlink ref="H68" r:id="rId77" xr:uid="{A6881DA6-7F91-C64D-B94B-FC912D85938A}"/>
    <hyperlink ref="H69" r:id="rId78" location="google_vignette" xr:uid="{5B344894-B4E5-8D4F-AB6B-6086DA44BE35}"/>
    <hyperlink ref="H72" r:id="rId79" xr:uid="{4C115A21-C61B-DC41-9ED4-A2A1AEBD2032}"/>
    <hyperlink ref="H73" r:id="rId80" xr:uid="{68AC2807-D18B-E04D-9BCB-F0CC210BDA99}"/>
    <hyperlink ref="H75" r:id="rId81" xr:uid="{3037E73C-58A6-0448-B81F-14823541F0DF}"/>
    <hyperlink ref="H76" r:id="rId82" xr:uid="{1B4977C3-F84C-2142-8988-506D4856728C}"/>
    <hyperlink ref="H77" r:id="rId83" xr:uid="{DFD47C17-CE00-ED4D-9AB2-923D50265432}"/>
    <hyperlink ref="H103" r:id="rId84" xr:uid="{FD348A37-CEF8-C24B-AF1B-95A19FD75B94}"/>
    <hyperlink ref="H104" r:id="rId85" xr:uid="{3D886934-CA86-C64B-99EE-4F79FA7AC715}"/>
    <hyperlink ref="H105" r:id="rId86" xr:uid="{55784F45-F255-C041-89BD-E27F0A55B1FA}"/>
    <hyperlink ref="H107" r:id="rId87" xr:uid="{74A25B87-7F9C-2D46-8390-B4D85BF4DD02}"/>
    <hyperlink ref="H124" r:id="rId88" xr:uid="{38CCCD6A-C413-5041-A03D-52924E63DC48}"/>
    <hyperlink ref="H122" r:id="rId89" xr:uid="{F175C7B0-D080-9940-90F5-C28180E82B45}"/>
    <hyperlink ref="H120" r:id="rId90" xr:uid="{1368092E-985E-094A-9B56-2AD445C18A6F}"/>
    <hyperlink ref="H128" r:id="rId91" xr:uid="{9C22558B-7283-494C-AB78-F35720606C5D}"/>
    <hyperlink ref="H123" r:id="rId92" xr:uid="{C19C98C4-97BF-9441-B6C2-F1CE1FE16977}"/>
    <hyperlink ref="H127" r:id="rId93" xr:uid="{E41BC858-0D0A-354C-9277-3027AAE8EF0D}"/>
    <hyperlink ref="H133" r:id="rId94" xr:uid="{F996B902-D03F-8947-BFF1-57CFA43DD2F3}"/>
    <hyperlink ref="H161" r:id="rId95" xr:uid="{4AEE5169-91F9-4045-8DFB-4E3E1053E339}"/>
    <hyperlink ref="H174" r:id="rId96" xr:uid="{FEC7ACB9-888A-3A4E-AC70-D66DFAB70E2B}"/>
    <hyperlink ref="H175" r:id="rId97" xr:uid="{ACA26AC9-7A1C-B740-885D-0F1590C5AA80}"/>
    <hyperlink ref="H172" r:id="rId98" location="google_vignette" xr:uid="{073A6A55-608D-804F-93CC-C375BAA14E3D}"/>
    <hyperlink ref="H171" r:id="rId99" xr:uid="{C431AA10-C358-3746-8300-9C4987F0F64E}"/>
    <hyperlink ref="H179" r:id="rId100" xr:uid="{89C62925-0595-E549-80BB-D3F6873FEA31}"/>
  </hyperlinks>
  <pageMargins left="0.7" right="0.7" top="0.75" bottom="0.75" header="0.3" footer="0.3"/>
  <legacyDrawing r:id="rId10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94B5-1AA2-5440-A7D6-0267FED0CE87}">
  <dimension ref="A1:CO261"/>
  <sheetViews>
    <sheetView zoomScale="129" zoomScaleNormal="129" workbookViewId="0">
      <pane xSplit="1" topLeftCell="B1" activePane="topRight" state="frozen"/>
      <selection pane="topRight"/>
    </sheetView>
  </sheetViews>
  <sheetFormatPr baseColWidth="10" defaultRowHeight="16" x14ac:dyDescent="0.2"/>
  <cols>
    <col min="1" max="1" width="19" style="8" customWidth="1"/>
    <col min="2" max="2" width="6" customWidth="1"/>
    <col min="3" max="3" width="5.6640625" customWidth="1"/>
    <col min="4" max="19" width="4.6640625" customWidth="1"/>
    <col min="20" max="53" width="4.33203125" customWidth="1"/>
    <col min="54" max="54" width="7.1640625" customWidth="1"/>
    <col min="55" max="75" width="4.33203125" customWidth="1"/>
  </cols>
  <sheetData>
    <row r="1" spans="1:93" s="13" customFormat="1" ht="93" customHeight="1" x14ac:dyDescent="0.2">
      <c r="A1" s="55" t="s">
        <v>521</v>
      </c>
      <c r="B1" s="37" t="s">
        <v>479</v>
      </c>
      <c r="C1" s="37" t="s">
        <v>520</v>
      </c>
      <c r="D1" s="28" t="s">
        <v>480</v>
      </c>
      <c r="E1" s="28" t="s">
        <v>575</v>
      </c>
      <c r="F1" s="28" t="s">
        <v>594</v>
      </c>
      <c r="G1" s="28" t="s">
        <v>595</v>
      </c>
      <c r="H1" s="28" t="s">
        <v>596</v>
      </c>
      <c r="I1" s="28" t="s">
        <v>597</v>
      </c>
      <c r="J1" s="28" t="s">
        <v>598</v>
      </c>
      <c r="K1" s="28" t="s">
        <v>599</v>
      </c>
      <c r="L1" s="28" t="s">
        <v>849</v>
      </c>
      <c r="M1" s="28" t="s">
        <v>600</v>
      </c>
      <c r="N1" s="28" t="s">
        <v>601</v>
      </c>
      <c r="O1" s="28" t="s">
        <v>602</v>
      </c>
      <c r="P1" s="28" t="s">
        <v>603</v>
      </c>
      <c r="Q1" s="28" t="s">
        <v>604</v>
      </c>
      <c r="R1" s="28" t="s">
        <v>605</v>
      </c>
      <c r="S1" s="28" t="s">
        <v>606</v>
      </c>
      <c r="T1" s="28" t="s">
        <v>607</v>
      </c>
      <c r="U1" s="28" t="s">
        <v>608</v>
      </c>
      <c r="V1" s="28" t="s">
        <v>609</v>
      </c>
      <c r="W1" s="28" t="s">
        <v>610</v>
      </c>
      <c r="X1" s="28" t="s">
        <v>611</v>
      </c>
      <c r="Y1" s="28" t="s">
        <v>612</v>
      </c>
      <c r="Z1" s="28" t="s">
        <v>613</v>
      </c>
      <c r="AA1" s="28" t="s">
        <v>614</v>
      </c>
      <c r="AB1" s="28" t="s">
        <v>615</v>
      </c>
      <c r="AC1" s="28" t="s">
        <v>616</v>
      </c>
      <c r="AD1" s="28" t="s">
        <v>617</v>
      </c>
      <c r="AE1" s="28" t="s">
        <v>618</v>
      </c>
      <c r="AF1" s="28" t="s">
        <v>619</v>
      </c>
      <c r="AG1" s="28" t="s">
        <v>620</v>
      </c>
      <c r="AH1" s="28" t="s">
        <v>621</v>
      </c>
      <c r="AI1" s="28" t="s">
        <v>622</v>
      </c>
      <c r="AJ1" s="28" t="s">
        <v>623</v>
      </c>
      <c r="AK1" s="28" t="s">
        <v>481</v>
      </c>
      <c r="AL1" s="28" t="s">
        <v>624</v>
      </c>
      <c r="AM1" s="28" t="s">
        <v>625</v>
      </c>
      <c r="AN1" s="28" t="s">
        <v>626</v>
      </c>
      <c r="AO1" s="28" t="s">
        <v>627</v>
      </c>
      <c r="AP1" s="28" t="s">
        <v>628</v>
      </c>
      <c r="AQ1" s="28" t="s">
        <v>629</v>
      </c>
      <c r="AR1" s="28" t="s">
        <v>630</v>
      </c>
      <c r="AS1" s="28" t="s">
        <v>631</v>
      </c>
      <c r="AT1" s="28" t="s">
        <v>632</v>
      </c>
      <c r="AU1" s="28" t="s">
        <v>633</v>
      </c>
      <c r="AV1" s="28" t="s">
        <v>634</v>
      </c>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row>
    <row r="2" spans="1:93" x14ac:dyDescent="0.2">
      <c r="A2" s="8" t="s">
        <v>883</v>
      </c>
      <c r="M2">
        <v>1</v>
      </c>
      <c r="Z2">
        <v>1</v>
      </c>
      <c r="AE2">
        <v>1</v>
      </c>
      <c r="AF2">
        <v>1</v>
      </c>
      <c r="AI2">
        <v>1</v>
      </c>
    </row>
    <row r="3" spans="1:93" x14ac:dyDescent="0.2">
      <c r="A3" s="8" t="s">
        <v>759</v>
      </c>
      <c r="H3">
        <v>1</v>
      </c>
      <c r="N3">
        <v>1</v>
      </c>
    </row>
    <row r="4" spans="1:93" x14ac:dyDescent="0.2">
      <c r="A4" s="8" t="s">
        <v>1002</v>
      </c>
      <c r="R4">
        <v>1</v>
      </c>
      <c r="S4">
        <v>1</v>
      </c>
      <c r="Z4">
        <v>1</v>
      </c>
      <c r="AC4">
        <v>1</v>
      </c>
      <c r="BA4">
        <v>564</v>
      </c>
    </row>
    <row r="5" spans="1:93" x14ac:dyDescent="0.2">
      <c r="A5" s="8" t="s">
        <v>1228</v>
      </c>
      <c r="AF5">
        <v>1</v>
      </c>
      <c r="AI5">
        <v>1</v>
      </c>
      <c r="BA5">
        <v>476</v>
      </c>
      <c r="BB5" s="60">
        <f>+BA5/BA4</f>
        <v>0.84397163120567376</v>
      </c>
    </row>
    <row r="6" spans="1:93" x14ac:dyDescent="0.2">
      <c r="A6" s="8" t="s">
        <v>1364</v>
      </c>
      <c r="AI6">
        <v>1</v>
      </c>
    </row>
    <row r="7" spans="1:93" x14ac:dyDescent="0.2">
      <c r="A7" s="8" t="s">
        <v>1327</v>
      </c>
      <c r="AO7">
        <v>0</v>
      </c>
    </row>
    <row r="8" spans="1:93" x14ac:dyDescent="0.2">
      <c r="A8" s="8" t="s">
        <v>1047</v>
      </c>
      <c r="U8">
        <v>1</v>
      </c>
      <c r="W8">
        <v>1</v>
      </c>
      <c r="Y8">
        <v>1</v>
      </c>
    </row>
    <row r="9" spans="1:93" x14ac:dyDescent="0.2">
      <c r="A9" s="8" t="s">
        <v>635</v>
      </c>
      <c r="B9" s="5"/>
      <c r="C9" s="5"/>
      <c r="D9" s="5"/>
      <c r="E9" s="5"/>
      <c r="F9" s="5">
        <v>0</v>
      </c>
      <c r="G9" s="5"/>
      <c r="H9" s="5"/>
      <c r="I9" s="5"/>
      <c r="J9" s="5"/>
      <c r="K9" s="5"/>
      <c r="L9" s="5"/>
      <c r="M9" s="5"/>
      <c r="N9" s="5"/>
      <c r="O9" s="5"/>
      <c r="P9" s="5"/>
      <c r="Q9" s="5">
        <v>1</v>
      </c>
      <c r="R9" s="5"/>
    </row>
    <row r="10" spans="1:93" x14ac:dyDescent="0.2">
      <c r="A10" s="8" t="s">
        <v>576</v>
      </c>
      <c r="B10" s="5"/>
      <c r="C10" s="5"/>
      <c r="D10" s="5"/>
      <c r="E10" s="5">
        <v>1</v>
      </c>
      <c r="F10" s="5"/>
      <c r="G10" s="5"/>
      <c r="H10" s="5"/>
      <c r="I10" s="5">
        <v>1</v>
      </c>
      <c r="J10" s="5"/>
      <c r="K10" s="5"/>
      <c r="L10" s="5"/>
      <c r="M10" s="5"/>
      <c r="N10" s="5"/>
      <c r="O10" s="5"/>
      <c r="P10" s="5">
        <v>1</v>
      </c>
      <c r="Q10" s="5"/>
      <c r="R10" s="5"/>
      <c r="AL10">
        <v>1</v>
      </c>
    </row>
    <row r="11" spans="1:93" x14ac:dyDescent="0.2">
      <c r="A11" s="8" t="s">
        <v>904</v>
      </c>
      <c r="O11">
        <v>1</v>
      </c>
      <c r="AK11">
        <v>1</v>
      </c>
      <c r="AU11">
        <v>1</v>
      </c>
    </row>
    <row r="12" spans="1:93" x14ac:dyDescent="0.2">
      <c r="A12" s="8" t="s">
        <v>1145</v>
      </c>
      <c r="Z12">
        <v>1</v>
      </c>
      <c r="AE12">
        <v>1</v>
      </c>
    </row>
    <row r="13" spans="1:93" x14ac:dyDescent="0.2">
      <c r="A13" s="8" t="s">
        <v>1154</v>
      </c>
      <c r="Z13">
        <v>0</v>
      </c>
      <c r="AE13">
        <v>1</v>
      </c>
    </row>
    <row r="14" spans="1:93" x14ac:dyDescent="0.2">
      <c r="A14" s="8" t="s">
        <v>1036</v>
      </c>
      <c r="U14">
        <v>1</v>
      </c>
      <c r="AI14">
        <v>1</v>
      </c>
    </row>
    <row r="15" spans="1:93" x14ac:dyDescent="0.2">
      <c r="A15" s="8" t="s">
        <v>1208</v>
      </c>
      <c r="AE15">
        <v>0</v>
      </c>
    </row>
    <row r="16" spans="1:93" x14ac:dyDescent="0.2">
      <c r="A16" s="8" t="s">
        <v>762</v>
      </c>
      <c r="H16">
        <v>1</v>
      </c>
      <c r="R16">
        <v>1</v>
      </c>
      <c r="Z16">
        <v>1</v>
      </c>
      <c r="AE16">
        <v>1</v>
      </c>
      <c r="AI16">
        <v>1</v>
      </c>
    </row>
    <row r="17" spans="1:46" x14ac:dyDescent="0.2">
      <c r="A17" s="8" t="s">
        <v>1365</v>
      </c>
      <c r="AI17">
        <v>1</v>
      </c>
    </row>
    <row r="18" spans="1:46" x14ac:dyDescent="0.2">
      <c r="A18" s="8" t="s">
        <v>1150</v>
      </c>
      <c r="Z18">
        <v>1</v>
      </c>
      <c r="AE18">
        <v>1</v>
      </c>
    </row>
    <row r="19" spans="1:46" x14ac:dyDescent="0.2">
      <c r="A19" s="8" t="s">
        <v>885</v>
      </c>
      <c r="M19">
        <v>1</v>
      </c>
    </row>
    <row r="20" spans="1:46" x14ac:dyDescent="0.2">
      <c r="A20" s="8" t="s">
        <v>1045</v>
      </c>
      <c r="U20">
        <v>1</v>
      </c>
      <c r="W20">
        <v>1</v>
      </c>
      <c r="AT20">
        <v>1</v>
      </c>
    </row>
    <row r="21" spans="1:46" x14ac:dyDescent="0.2">
      <c r="A21" s="8" t="s">
        <v>1370</v>
      </c>
      <c r="AI21">
        <v>0</v>
      </c>
    </row>
    <row r="22" spans="1:46" x14ac:dyDescent="0.2">
      <c r="A22" s="8" t="s">
        <v>636</v>
      </c>
      <c r="B22" s="5"/>
      <c r="C22" s="5"/>
      <c r="D22" s="5"/>
      <c r="E22" s="5"/>
      <c r="F22" s="5">
        <v>1</v>
      </c>
      <c r="G22" s="5"/>
      <c r="H22" s="5"/>
      <c r="I22" s="5"/>
      <c r="J22" s="5"/>
      <c r="K22" s="5"/>
      <c r="L22" s="5"/>
      <c r="M22" s="5"/>
      <c r="N22" s="5"/>
      <c r="O22" s="5"/>
      <c r="P22" s="5"/>
      <c r="Q22" s="5"/>
      <c r="R22" s="5"/>
      <c r="AK22">
        <v>1</v>
      </c>
    </row>
    <row r="23" spans="1:46" x14ac:dyDescent="0.2">
      <c r="A23" s="8" t="s">
        <v>1344</v>
      </c>
      <c r="AR23">
        <v>0</v>
      </c>
    </row>
    <row r="24" spans="1:46" x14ac:dyDescent="0.2">
      <c r="A24" s="8" t="s">
        <v>981</v>
      </c>
      <c r="R24">
        <v>0</v>
      </c>
      <c r="V24">
        <v>0</v>
      </c>
      <c r="AC24">
        <v>0</v>
      </c>
    </row>
    <row r="25" spans="1:46" x14ac:dyDescent="0.2">
      <c r="A25" s="8" t="s">
        <v>851</v>
      </c>
      <c r="L25">
        <v>1</v>
      </c>
    </row>
    <row r="26" spans="1:46" x14ac:dyDescent="0.2">
      <c r="A26" s="8" t="s">
        <v>1201</v>
      </c>
      <c r="AE26">
        <v>0</v>
      </c>
    </row>
    <row r="27" spans="1:46" x14ac:dyDescent="0.2">
      <c r="A27" s="8" t="s">
        <v>1138</v>
      </c>
      <c r="X27">
        <v>1</v>
      </c>
    </row>
    <row r="28" spans="1:46" x14ac:dyDescent="0.2">
      <c r="A28" s="8" t="s">
        <v>1033</v>
      </c>
      <c r="U28">
        <v>1</v>
      </c>
      <c r="AB28">
        <v>1</v>
      </c>
      <c r="AH28">
        <v>1</v>
      </c>
      <c r="AQ28">
        <v>1</v>
      </c>
      <c r="AR28">
        <v>1</v>
      </c>
    </row>
    <row r="29" spans="1:46" x14ac:dyDescent="0.2">
      <c r="A29" s="8" t="s">
        <v>1099</v>
      </c>
      <c r="W29">
        <v>1</v>
      </c>
      <c r="AI29">
        <v>1</v>
      </c>
    </row>
    <row r="30" spans="1:46" x14ac:dyDescent="0.2">
      <c r="A30" s="8" t="s">
        <v>739</v>
      </c>
      <c r="G30">
        <v>1</v>
      </c>
      <c r="Z30">
        <v>1</v>
      </c>
      <c r="AE30">
        <v>1</v>
      </c>
    </row>
    <row r="31" spans="1:46" x14ac:dyDescent="0.2">
      <c r="A31" s="8" t="s">
        <v>1342</v>
      </c>
      <c r="AQ31">
        <v>0</v>
      </c>
    </row>
    <row r="32" spans="1:46" x14ac:dyDescent="0.2">
      <c r="A32" s="8" t="s">
        <v>1184</v>
      </c>
      <c r="AB32">
        <v>0</v>
      </c>
    </row>
    <row r="33" spans="1:45" x14ac:dyDescent="0.2">
      <c r="A33" s="8" t="s">
        <v>1155</v>
      </c>
      <c r="Z33">
        <v>0</v>
      </c>
      <c r="AE33">
        <v>1</v>
      </c>
      <c r="AF33">
        <v>1</v>
      </c>
    </row>
    <row r="34" spans="1:45" x14ac:dyDescent="0.2">
      <c r="A34" s="8" t="s">
        <v>1137</v>
      </c>
      <c r="X34">
        <v>1</v>
      </c>
    </row>
    <row r="35" spans="1:45" x14ac:dyDescent="0.2">
      <c r="A35" s="8" t="s">
        <v>1032</v>
      </c>
      <c r="U35">
        <v>1</v>
      </c>
      <c r="AI35">
        <v>1</v>
      </c>
      <c r="AS35">
        <v>1</v>
      </c>
    </row>
    <row r="36" spans="1:45" x14ac:dyDescent="0.2">
      <c r="A36" s="8" t="s">
        <v>1377</v>
      </c>
      <c r="AI36">
        <v>1</v>
      </c>
    </row>
    <row r="37" spans="1:45" x14ac:dyDescent="0.2">
      <c r="A37" s="8" t="s">
        <v>1203</v>
      </c>
      <c r="AE37">
        <v>0</v>
      </c>
    </row>
    <row r="38" spans="1:45" x14ac:dyDescent="0.2">
      <c r="A38" s="8" t="s">
        <v>1349</v>
      </c>
      <c r="AR38">
        <v>1</v>
      </c>
    </row>
    <row r="39" spans="1:45" x14ac:dyDescent="0.2">
      <c r="A39" s="8" t="s">
        <v>967</v>
      </c>
      <c r="P39">
        <v>1</v>
      </c>
    </row>
    <row r="40" spans="1:45" x14ac:dyDescent="0.2">
      <c r="A40" s="8" t="s">
        <v>1245</v>
      </c>
      <c r="AH40">
        <v>0</v>
      </c>
      <c r="AR40">
        <v>1</v>
      </c>
    </row>
    <row r="41" spans="1:45" x14ac:dyDescent="0.2">
      <c r="A41" s="8" t="s">
        <v>764</v>
      </c>
      <c r="H41">
        <v>1</v>
      </c>
      <c r="Z41">
        <v>1</v>
      </c>
      <c r="AE41">
        <v>1</v>
      </c>
      <c r="AI41">
        <v>1</v>
      </c>
    </row>
    <row r="42" spans="1:45" x14ac:dyDescent="0.2">
      <c r="A42" s="8" t="s">
        <v>637</v>
      </c>
      <c r="B42" s="5"/>
      <c r="C42" s="5"/>
      <c r="D42" s="5"/>
      <c r="E42" s="5"/>
      <c r="F42" s="5">
        <v>0</v>
      </c>
      <c r="G42" s="5"/>
      <c r="H42" s="5"/>
      <c r="I42" s="5"/>
      <c r="J42" s="5"/>
      <c r="K42" s="5"/>
      <c r="L42" s="5"/>
      <c r="M42" s="5"/>
      <c r="N42" s="5"/>
      <c r="O42" s="5"/>
      <c r="P42" s="5"/>
      <c r="Q42" s="5"/>
      <c r="R42" s="5"/>
    </row>
    <row r="43" spans="1:45" x14ac:dyDescent="0.2">
      <c r="A43" s="8" t="s">
        <v>1152</v>
      </c>
      <c r="Z43">
        <v>0</v>
      </c>
      <c r="AE43">
        <v>0</v>
      </c>
    </row>
    <row r="44" spans="1:45" x14ac:dyDescent="0.2">
      <c r="A44" s="8" t="s">
        <v>1242</v>
      </c>
      <c r="AH44">
        <v>1</v>
      </c>
      <c r="AR44">
        <v>1</v>
      </c>
    </row>
    <row r="45" spans="1:45" x14ac:dyDescent="0.2">
      <c r="A45" s="8" t="s">
        <v>1188</v>
      </c>
      <c r="AD45">
        <v>0</v>
      </c>
    </row>
    <row r="46" spans="1:45" x14ac:dyDescent="0.2">
      <c r="A46" s="8" t="s">
        <v>852</v>
      </c>
      <c r="L46">
        <v>1</v>
      </c>
    </row>
    <row r="47" spans="1:45" x14ac:dyDescent="0.2">
      <c r="A47" s="8" t="s">
        <v>918</v>
      </c>
      <c r="O47">
        <v>1</v>
      </c>
    </row>
    <row r="48" spans="1:45" x14ac:dyDescent="0.2">
      <c r="A48" s="8" t="s">
        <v>482</v>
      </c>
      <c r="B48" s="5"/>
      <c r="C48" s="5"/>
      <c r="D48" s="5"/>
      <c r="E48" s="5">
        <v>1</v>
      </c>
      <c r="F48" s="5"/>
      <c r="G48" s="5"/>
      <c r="H48" s="5"/>
      <c r="I48" s="5">
        <v>1</v>
      </c>
      <c r="J48" s="5"/>
      <c r="K48" s="5"/>
      <c r="L48" s="5"/>
      <c r="M48" s="5"/>
      <c r="N48" s="5"/>
      <c r="O48" s="5"/>
      <c r="P48" s="5">
        <v>1</v>
      </c>
      <c r="Q48" s="5"/>
      <c r="R48" s="5"/>
      <c r="AL48">
        <v>1</v>
      </c>
    </row>
    <row r="49" spans="1:48" x14ac:dyDescent="0.2">
      <c r="A49" s="8" t="s">
        <v>1028</v>
      </c>
      <c r="U49">
        <v>0</v>
      </c>
    </row>
    <row r="50" spans="1:48" x14ac:dyDescent="0.2">
      <c r="A50" s="8" t="s">
        <v>1100</v>
      </c>
      <c r="W50">
        <v>1</v>
      </c>
      <c r="AL50">
        <v>1</v>
      </c>
      <c r="AO50">
        <v>1</v>
      </c>
      <c r="AQ50">
        <v>1</v>
      </c>
      <c r="AS50">
        <v>1</v>
      </c>
    </row>
    <row r="51" spans="1:48" x14ac:dyDescent="0.2">
      <c r="A51" s="8" t="s">
        <v>1271</v>
      </c>
      <c r="AK51">
        <v>1</v>
      </c>
    </row>
    <row r="52" spans="1:48" x14ac:dyDescent="0.2">
      <c r="A52" s="8" t="s">
        <v>487</v>
      </c>
      <c r="B52" s="38">
        <v>0</v>
      </c>
      <c r="C52" s="38"/>
      <c r="D52" s="5"/>
      <c r="E52" s="5"/>
      <c r="F52" s="5"/>
      <c r="G52" s="5"/>
      <c r="H52" s="5"/>
      <c r="I52" s="5"/>
      <c r="J52" s="5"/>
      <c r="K52" s="5"/>
      <c r="L52" s="5"/>
      <c r="M52" s="5"/>
      <c r="N52" s="5"/>
      <c r="O52" s="5"/>
      <c r="P52" s="5"/>
      <c r="Q52" s="5"/>
      <c r="R52" s="5"/>
    </row>
    <row r="53" spans="1:48" x14ac:dyDescent="0.2">
      <c r="A53" s="8" t="s">
        <v>1158</v>
      </c>
      <c r="Z53">
        <v>1</v>
      </c>
      <c r="AE53">
        <v>1</v>
      </c>
    </row>
    <row r="54" spans="1:48" x14ac:dyDescent="0.2">
      <c r="A54" s="8" t="s">
        <v>919</v>
      </c>
      <c r="O54">
        <v>1</v>
      </c>
    </row>
    <row r="55" spans="1:48" x14ac:dyDescent="0.2">
      <c r="A55" s="8" t="s">
        <v>974</v>
      </c>
      <c r="Q55">
        <v>1</v>
      </c>
    </row>
    <row r="56" spans="1:48" x14ac:dyDescent="0.2">
      <c r="A56" s="8" t="s">
        <v>638</v>
      </c>
      <c r="B56" s="5"/>
      <c r="C56" s="5"/>
      <c r="D56" s="5"/>
      <c r="E56" s="5"/>
      <c r="F56" s="5">
        <v>1</v>
      </c>
      <c r="G56" s="5"/>
      <c r="H56" s="5"/>
      <c r="I56" s="5"/>
      <c r="J56" s="5"/>
      <c r="K56" s="5"/>
      <c r="L56" s="5"/>
      <c r="M56" s="5"/>
      <c r="N56" s="5"/>
      <c r="O56" s="5"/>
      <c r="P56" s="5"/>
      <c r="Q56" s="5"/>
      <c r="R56" s="5"/>
      <c r="W56">
        <v>1</v>
      </c>
      <c r="AL56">
        <v>1</v>
      </c>
      <c r="AQ56">
        <v>1</v>
      </c>
    </row>
    <row r="57" spans="1:48" x14ac:dyDescent="0.2">
      <c r="A57" s="8" t="s">
        <v>915</v>
      </c>
      <c r="O57">
        <v>1</v>
      </c>
    </row>
    <row r="58" spans="1:48" x14ac:dyDescent="0.2">
      <c r="A58" s="8" t="s">
        <v>1149</v>
      </c>
      <c r="Z58">
        <v>1</v>
      </c>
      <c r="AE58">
        <v>1</v>
      </c>
    </row>
    <row r="59" spans="1:48" x14ac:dyDescent="0.2">
      <c r="A59" s="8" t="s">
        <v>1142</v>
      </c>
      <c r="Y59">
        <v>1</v>
      </c>
      <c r="AB59">
        <v>1</v>
      </c>
      <c r="AJ59">
        <v>1</v>
      </c>
      <c r="AQ59">
        <v>1</v>
      </c>
    </row>
    <row r="60" spans="1:48" x14ac:dyDescent="0.2">
      <c r="A60" s="8" t="s">
        <v>639</v>
      </c>
      <c r="B60" s="5"/>
      <c r="C60" s="5"/>
      <c r="D60" s="5"/>
      <c r="E60" s="5"/>
      <c r="F60" s="5">
        <v>1</v>
      </c>
      <c r="G60" s="5"/>
      <c r="H60" s="5"/>
      <c r="I60" s="5"/>
      <c r="J60" s="5"/>
      <c r="K60" s="5"/>
      <c r="L60" s="5"/>
      <c r="M60" s="5"/>
      <c r="N60" s="5">
        <v>1</v>
      </c>
      <c r="O60" s="5"/>
      <c r="P60" s="5"/>
      <c r="Q60" s="5">
        <v>1</v>
      </c>
      <c r="R60" s="5"/>
      <c r="AJ60">
        <v>1</v>
      </c>
      <c r="AQ60">
        <v>1</v>
      </c>
    </row>
    <row r="61" spans="1:48" x14ac:dyDescent="0.2">
      <c r="A61" s="8" t="s">
        <v>640</v>
      </c>
      <c r="B61" s="5"/>
      <c r="C61" s="5"/>
      <c r="D61" s="5"/>
      <c r="E61" s="5"/>
      <c r="F61" s="5">
        <v>1</v>
      </c>
      <c r="G61" s="5"/>
      <c r="H61" s="5"/>
      <c r="I61" s="5"/>
      <c r="J61" s="5"/>
      <c r="K61" s="5"/>
      <c r="L61" s="5"/>
      <c r="M61" s="5"/>
      <c r="N61" s="5"/>
      <c r="O61" s="5"/>
      <c r="P61" s="5"/>
      <c r="Q61" s="5"/>
      <c r="R61" s="5"/>
      <c r="U61">
        <v>1</v>
      </c>
      <c r="W61">
        <v>1</v>
      </c>
      <c r="AL61">
        <v>1</v>
      </c>
    </row>
    <row r="62" spans="1:48" x14ac:dyDescent="0.2">
      <c r="A62" s="8" t="s">
        <v>1189</v>
      </c>
      <c r="AD62">
        <v>1</v>
      </c>
      <c r="AR62">
        <v>1</v>
      </c>
      <c r="AS62">
        <v>1</v>
      </c>
      <c r="AV62">
        <v>1</v>
      </c>
    </row>
    <row r="63" spans="1:48" x14ac:dyDescent="0.2">
      <c r="A63" s="8" t="s">
        <v>1305</v>
      </c>
      <c r="AN63">
        <v>0</v>
      </c>
    </row>
    <row r="64" spans="1:48" x14ac:dyDescent="0.2">
      <c r="A64" s="8" t="s">
        <v>1272</v>
      </c>
      <c r="AK64">
        <v>1</v>
      </c>
    </row>
    <row r="65" spans="1:48" x14ac:dyDescent="0.2">
      <c r="A65" s="8" t="s">
        <v>909</v>
      </c>
      <c r="O65">
        <v>1</v>
      </c>
    </row>
    <row r="66" spans="1:48" x14ac:dyDescent="0.2">
      <c r="A66" s="8" t="s">
        <v>765</v>
      </c>
      <c r="H66">
        <v>1</v>
      </c>
    </row>
    <row r="67" spans="1:48" x14ac:dyDescent="0.2">
      <c r="A67" s="8" t="s">
        <v>1295</v>
      </c>
      <c r="AM67">
        <v>0</v>
      </c>
    </row>
    <row r="68" spans="1:48" x14ac:dyDescent="0.2">
      <c r="A68" s="8" t="s">
        <v>1357</v>
      </c>
      <c r="AU68">
        <v>0</v>
      </c>
    </row>
    <row r="69" spans="1:48" x14ac:dyDescent="0.2">
      <c r="A69" s="8" t="s">
        <v>1356</v>
      </c>
      <c r="AT69">
        <v>1</v>
      </c>
    </row>
    <row r="70" spans="1:48" x14ac:dyDescent="0.2">
      <c r="A70" s="8" t="s">
        <v>644</v>
      </c>
      <c r="B70" s="5"/>
      <c r="C70" s="5"/>
      <c r="D70" s="5"/>
      <c r="E70" s="5"/>
      <c r="F70" s="5">
        <v>1</v>
      </c>
      <c r="G70" s="5"/>
      <c r="H70" s="5"/>
      <c r="I70" s="5"/>
      <c r="J70" s="5"/>
      <c r="K70" s="5"/>
      <c r="L70" s="5"/>
      <c r="M70" s="5"/>
      <c r="N70" s="5"/>
      <c r="O70" s="5"/>
      <c r="P70" s="5"/>
      <c r="Q70" s="5"/>
      <c r="R70" s="5"/>
      <c r="AS70">
        <v>1</v>
      </c>
    </row>
    <row r="71" spans="1:48" x14ac:dyDescent="0.2">
      <c r="A71" s="8" t="s">
        <v>643</v>
      </c>
      <c r="B71" s="5"/>
      <c r="C71" s="5"/>
      <c r="D71" s="5"/>
      <c r="E71" s="5"/>
      <c r="F71" s="5">
        <v>1</v>
      </c>
      <c r="G71" s="5"/>
      <c r="H71" s="5"/>
      <c r="I71" s="5"/>
      <c r="J71" s="5"/>
      <c r="K71" s="5"/>
      <c r="L71" s="5"/>
      <c r="M71" s="5"/>
      <c r="N71" s="5">
        <v>1</v>
      </c>
      <c r="O71" s="5"/>
      <c r="P71" s="5"/>
      <c r="Q71" s="5">
        <v>1</v>
      </c>
      <c r="R71" s="5"/>
      <c r="Y71">
        <v>1</v>
      </c>
      <c r="AJ71">
        <v>1</v>
      </c>
      <c r="AQ71">
        <v>1</v>
      </c>
    </row>
    <row r="72" spans="1:48" x14ac:dyDescent="0.2">
      <c r="A72" s="8" t="s">
        <v>641</v>
      </c>
      <c r="B72" s="5"/>
      <c r="C72" s="5"/>
      <c r="D72" s="5"/>
      <c r="E72" s="5"/>
      <c r="F72" s="5">
        <v>1</v>
      </c>
      <c r="G72" s="5"/>
      <c r="H72" s="5"/>
      <c r="I72" s="5"/>
      <c r="J72" s="5"/>
      <c r="K72" s="5"/>
      <c r="L72" s="5"/>
      <c r="M72" s="5"/>
      <c r="N72" s="5"/>
      <c r="O72" s="5"/>
      <c r="P72" s="5"/>
      <c r="Q72" s="5"/>
      <c r="R72" s="5"/>
      <c r="AP72">
        <v>1</v>
      </c>
    </row>
    <row r="73" spans="1:48" x14ac:dyDescent="0.2">
      <c r="A73" s="8" t="s">
        <v>642</v>
      </c>
      <c r="B73" s="5"/>
      <c r="C73" s="5"/>
      <c r="D73" s="5"/>
      <c r="E73" s="5"/>
      <c r="F73" s="5">
        <v>0</v>
      </c>
      <c r="G73" s="5"/>
      <c r="H73" s="5"/>
      <c r="I73" s="5"/>
      <c r="J73" s="5"/>
      <c r="K73" s="5"/>
      <c r="L73" s="5"/>
      <c r="M73" s="5"/>
      <c r="N73" s="5"/>
      <c r="O73" s="5"/>
      <c r="P73" s="5"/>
      <c r="Q73" s="5"/>
      <c r="R73" s="5"/>
      <c r="U73">
        <v>1</v>
      </c>
      <c r="X73">
        <v>1</v>
      </c>
      <c r="AK73">
        <v>1</v>
      </c>
      <c r="AP73">
        <v>1</v>
      </c>
    </row>
    <row r="74" spans="1:48" x14ac:dyDescent="0.2">
      <c r="A74" s="8" t="s">
        <v>513</v>
      </c>
      <c r="B74" s="38"/>
      <c r="C74" s="38">
        <v>1</v>
      </c>
      <c r="D74" s="5"/>
      <c r="E74" s="5"/>
      <c r="F74" s="5"/>
      <c r="G74" s="5"/>
      <c r="H74" s="5"/>
      <c r="I74" s="5"/>
      <c r="J74" s="5"/>
      <c r="K74" s="5"/>
      <c r="L74" s="5"/>
      <c r="M74" s="5"/>
      <c r="N74" s="5"/>
      <c r="O74" s="5"/>
      <c r="P74" s="5"/>
      <c r="Q74" s="5"/>
      <c r="R74" s="5"/>
      <c r="AI74">
        <v>1</v>
      </c>
      <c r="AS74">
        <v>1</v>
      </c>
      <c r="AU74">
        <v>1</v>
      </c>
    </row>
    <row r="75" spans="1:48" x14ac:dyDescent="0.2">
      <c r="A75" s="8" t="s">
        <v>1323</v>
      </c>
      <c r="AO75">
        <v>0</v>
      </c>
      <c r="AU75">
        <v>1</v>
      </c>
    </row>
    <row r="76" spans="1:48" x14ac:dyDescent="0.2">
      <c r="A76" s="8" t="s">
        <v>1101</v>
      </c>
      <c r="W76">
        <v>1</v>
      </c>
      <c r="AI76">
        <v>1</v>
      </c>
    </row>
    <row r="77" spans="1:48" x14ac:dyDescent="0.2">
      <c r="A77" s="8" t="s">
        <v>738</v>
      </c>
      <c r="G77">
        <v>1</v>
      </c>
      <c r="K77">
        <v>1</v>
      </c>
      <c r="AN77">
        <v>1</v>
      </c>
      <c r="AS77">
        <v>1</v>
      </c>
      <c r="AV77">
        <v>1</v>
      </c>
    </row>
    <row r="78" spans="1:48" x14ac:dyDescent="0.2">
      <c r="A78" s="8" t="s">
        <v>490</v>
      </c>
      <c r="B78" s="38">
        <v>1</v>
      </c>
      <c r="C78" s="38"/>
      <c r="D78" s="5"/>
      <c r="E78" s="5"/>
      <c r="F78" s="5"/>
      <c r="G78" s="5"/>
      <c r="H78" s="5"/>
      <c r="I78" s="5"/>
      <c r="J78" s="5"/>
      <c r="K78" s="5">
        <v>1</v>
      </c>
      <c r="L78" s="5"/>
      <c r="M78" s="5"/>
      <c r="N78" s="5"/>
      <c r="O78" s="5"/>
      <c r="P78" s="5"/>
      <c r="Q78" s="5"/>
      <c r="R78" s="5"/>
      <c r="AD78">
        <v>1</v>
      </c>
      <c r="AK78">
        <v>1</v>
      </c>
      <c r="AN78">
        <v>1</v>
      </c>
      <c r="AS78">
        <v>1</v>
      </c>
      <c r="AV78">
        <v>1</v>
      </c>
    </row>
    <row r="79" spans="1:48" x14ac:dyDescent="0.2">
      <c r="A79" s="8" t="s">
        <v>1243</v>
      </c>
      <c r="AH79">
        <v>1</v>
      </c>
      <c r="AR79">
        <v>1</v>
      </c>
    </row>
    <row r="80" spans="1:48" x14ac:dyDescent="0.2">
      <c r="A80" s="8" t="s">
        <v>645</v>
      </c>
      <c r="B80" s="5"/>
      <c r="C80" s="5"/>
      <c r="D80" s="5"/>
      <c r="E80" s="5"/>
      <c r="F80" s="5">
        <v>0</v>
      </c>
      <c r="G80" s="5"/>
      <c r="H80" s="5"/>
      <c r="I80" s="5"/>
      <c r="J80" s="5"/>
      <c r="K80" s="5"/>
      <c r="L80" s="5"/>
      <c r="M80" s="5"/>
      <c r="N80" s="5"/>
      <c r="O80" s="5"/>
      <c r="P80" s="5"/>
      <c r="Q80" s="5"/>
      <c r="R80" s="5"/>
    </row>
    <row r="81" spans="1:45" x14ac:dyDescent="0.2">
      <c r="A81" s="8" t="s">
        <v>1321</v>
      </c>
      <c r="AO81">
        <v>1</v>
      </c>
    </row>
    <row r="82" spans="1:45" x14ac:dyDescent="0.2">
      <c r="A82" s="8" t="s">
        <v>809</v>
      </c>
      <c r="K82">
        <v>1</v>
      </c>
      <c r="AD82">
        <v>1</v>
      </c>
    </row>
    <row r="83" spans="1:45" x14ac:dyDescent="0.2">
      <c r="A83" s="8" t="s">
        <v>486</v>
      </c>
      <c r="B83" s="38">
        <v>1</v>
      </c>
      <c r="C83" s="38"/>
      <c r="D83" s="5"/>
      <c r="E83" s="5"/>
      <c r="F83" s="5">
        <v>1</v>
      </c>
      <c r="G83" s="5"/>
      <c r="H83" s="5"/>
      <c r="I83" s="5"/>
      <c r="J83" s="5"/>
      <c r="K83" s="5"/>
      <c r="L83" s="5"/>
      <c r="M83" s="5"/>
      <c r="N83" s="5"/>
      <c r="O83" s="5"/>
      <c r="P83" s="5"/>
      <c r="Q83" s="5"/>
      <c r="R83" s="5"/>
      <c r="T83">
        <v>1</v>
      </c>
      <c r="U83">
        <v>1</v>
      </c>
      <c r="AA83">
        <v>1</v>
      </c>
      <c r="AM83">
        <v>1</v>
      </c>
    </row>
    <row r="84" spans="1:45" x14ac:dyDescent="0.2">
      <c r="A84" s="8" t="s">
        <v>1350</v>
      </c>
      <c r="AS84">
        <v>0</v>
      </c>
    </row>
    <row r="85" spans="1:45" x14ac:dyDescent="0.2">
      <c r="A85" s="8" t="s">
        <v>1034</v>
      </c>
      <c r="U85">
        <v>1</v>
      </c>
      <c r="AI85">
        <v>1</v>
      </c>
    </row>
    <row r="86" spans="1:45" x14ac:dyDescent="0.2">
      <c r="A86" s="8" t="s">
        <v>1297</v>
      </c>
      <c r="AM86">
        <v>1</v>
      </c>
    </row>
    <row r="87" spans="1:45" x14ac:dyDescent="0.2">
      <c r="A87" s="8" t="s">
        <v>982</v>
      </c>
      <c r="R87">
        <v>1</v>
      </c>
      <c r="AC87">
        <v>1</v>
      </c>
      <c r="AI87">
        <v>1</v>
      </c>
    </row>
    <row r="88" spans="1:45" x14ac:dyDescent="0.2">
      <c r="A88" s="8" t="s">
        <v>1025</v>
      </c>
      <c r="U88">
        <v>0</v>
      </c>
    </row>
    <row r="89" spans="1:45" x14ac:dyDescent="0.2">
      <c r="A89" s="8" t="s">
        <v>983</v>
      </c>
      <c r="R89">
        <v>0</v>
      </c>
    </row>
    <row r="90" spans="1:45" x14ac:dyDescent="0.2">
      <c r="A90" s="8" t="s">
        <v>1102</v>
      </c>
      <c r="W90">
        <v>1</v>
      </c>
      <c r="AO90">
        <v>1</v>
      </c>
    </row>
    <row r="91" spans="1:45" x14ac:dyDescent="0.2">
      <c r="A91" s="8" t="s">
        <v>984</v>
      </c>
      <c r="R91">
        <v>1</v>
      </c>
      <c r="V91">
        <v>1</v>
      </c>
      <c r="AC91">
        <v>1</v>
      </c>
      <c r="AG91">
        <v>1</v>
      </c>
    </row>
    <row r="92" spans="1:45" x14ac:dyDescent="0.2">
      <c r="A92" s="8" t="s">
        <v>913</v>
      </c>
      <c r="O92">
        <v>1</v>
      </c>
    </row>
    <row r="93" spans="1:45" x14ac:dyDescent="0.2">
      <c r="A93" s="8" t="s">
        <v>1103</v>
      </c>
      <c r="W93">
        <v>1</v>
      </c>
      <c r="AI93">
        <v>1</v>
      </c>
    </row>
    <row r="94" spans="1:45" x14ac:dyDescent="0.2">
      <c r="A94" s="8" t="s">
        <v>917</v>
      </c>
      <c r="O94">
        <v>1</v>
      </c>
    </row>
    <row r="95" spans="1:45" x14ac:dyDescent="0.2">
      <c r="A95" s="8" t="s">
        <v>804</v>
      </c>
      <c r="K95">
        <v>1</v>
      </c>
      <c r="AD95">
        <v>1</v>
      </c>
    </row>
    <row r="96" spans="1:45" x14ac:dyDescent="0.2">
      <c r="A96" s="8" t="s">
        <v>850</v>
      </c>
      <c r="L96">
        <v>1</v>
      </c>
    </row>
    <row r="97" spans="1:47" x14ac:dyDescent="0.2">
      <c r="A97" s="8" t="s">
        <v>985</v>
      </c>
      <c r="R97">
        <v>1</v>
      </c>
      <c r="Z97">
        <v>1</v>
      </c>
      <c r="AE97">
        <v>1</v>
      </c>
    </row>
    <row r="98" spans="1:47" x14ac:dyDescent="0.2">
      <c r="A98" s="8" t="s">
        <v>483</v>
      </c>
      <c r="B98" s="5"/>
      <c r="C98" s="5"/>
      <c r="D98" s="5"/>
      <c r="E98" s="5">
        <v>1</v>
      </c>
      <c r="F98" s="5"/>
      <c r="G98" s="5"/>
      <c r="H98" s="5"/>
      <c r="I98" s="5"/>
      <c r="J98" s="5"/>
      <c r="K98" s="5"/>
      <c r="L98" s="5"/>
      <c r="M98" s="5"/>
      <c r="N98" s="5"/>
      <c r="O98" s="5"/>
      <c r="P98" s="5">
        <v>1</v>
      </c>
      <c r="Q98" s="5"/>
      <c r="R98" s="5"/>
    </row>
    <row r="99" spans="1:47" x14ac:dyDescent="0.2">
      <c r="A99" s="8" t="s">
        <v>1298</v>
      </c>
      <c r="AM99">
        <v>0</v>
      </c>
    </row>
    <row r="100" spans="1:47" x14ac:dyDescent="0.2">
      <c r="A100" s="8" t="s">
        <v>758</v>
      </c>
      <c r="H100">
        <v>1</v>
      </c>
    </row>
    <row r="101" spans="1:47" x14ac:dyDescent="0.2">
      <c r="A101" s="8" t="s">
        <v>884</v>
      </c>
      <c r="M101">
        <v>1</v>
      </c>
      <c r="Z101">
        <v>1</v>
      </c>
      <c r="AE101">
        <v>1</v>
      </c>
      <c r="AF101">
        <v>1</v>
      </c>
      <c r="AI101">
        <v>1</v>
      </c>
    </row>
    <row r="102" spans="1:47" x14ac:dyDescent="0.2">
      <c r="A102" s="8" t="s">
        <v>760</v>
      </c>
      <c r="H102">
        <v>1</v>
      </c>
      <c r="AI102">
        <v>1</v>
      </c>
    </row>
    <row r="103" spans="1:47" x14ac:dyDescent="0.2">
      <c r="A103" s="8" t="s">
        <v>1369</v>
      </c>
      <c r="AI103">
        <v>1</v>
      </c>
    </row>
    <row r="104" spans="1:47" x14ac:dyDescent="0.2">
      <c r="A104" s="8" t="s">
        <v>1030</v>
      </c>
      <c r="U104">
        <v>0</v>
      </c>
    </row>
    <row r="105" spans="1:47" x14ac:dyDescent="0.2">
      <c r="A105" s="8" t="s">
        <v>737</v>
      </c>
      <c r="E105" s="5"/>
      <c r="G105">
        <v>1</v>
      </c>
      <c r="W105">
        <v>1</v>
      </c>
      <c r="AO105">
        <v>1</v>
      </c>
      <c r="AS105">
        <v>1</v>
      </c>
      <c r="AU105">
        <v>1</v>
      </c>
    </row>
    <row r="106" spans="1:47" x14ac:dyDescent="0.2">
      <c r="A106" s="8" t="s">
        <v>808</v>
      </c>
      <c r="K106">
        <v>1</v>
      </c>
      <c r="AD106">
        <v>1</v>
      </c>
    </row>
    <row r="107" spans="1:47" x14ac:dyDescent="0.2">
      <c r="A107" s="8" t="s">
        <v>801</v>
      </c>
      <c r="K107">
        <v>1</v>
      </c>
      <c r="AR107">
        <v>1</v>
      </c>
    </row>
    <row r="108" spans="1:47" x14ac:dyDescent="0.2">
      <c r="A108" s="8" t="s">
        <v>646</v>
      </c>
      <c r="E108" s="5"/>
      <c r="F108" s="5">
        <v>0</v>
      </c>
    </row>
    <row r="109" spans="1:47" x14ac:dyDescent="0.2">
      <c r="A109" s="8" t="s">
        <v>484</v>
      </c>
      <c r="B109" s="5"/>
      <c r="C109" s="5"/>
      <c r="D109" s="5"/>
      <c r="E109" s="5">
        <v>0</v>
      </c>
      <c r="F109" s="5"/>
      <c r="G109" s="5"/>
      <c r="H109" s="5"/>
      <c r="I109" s="5"/>
      <c r="J109" s="5"/>
      <c r="K109" s="5"/>
      <c r="L109" s="5"/>
      <c r="M109" s="5"/>
      <c r="N109" s="5"/>
      <c r="O109" s="5"/>
      <c r="P109" s="5">
        <v>1</v>
      </c>
      <c r="Q109" s="5"/>
      <c r="R109" s="5"/>
    </row>
    <row r="110" spans="1:47" x14ac:dyDescent="0.2">
      <c r="A110" s="8" t="s">
        <v>1358</v>
      </c>
      <c r="AI110">
        <v>1</v>
      </c>
      <c r="AU110">
        <v>1</v>
      </c>
    </row>
    <row r="111" spans="1:47" x14ac:dyDescent="0.2">
      <c r="A111" s="8" t="s">
        <v>1363</v>
      </c>
      <c r="AI111">
        <v>1</v>
      </c>
    </row>
    <row r="112" spans="1:47" x14ac:dyDescent="0.2">
      <c r="A112" s="8" t="s">
        <v>1207</v>
      </c>
      <c r="AE112">
        <v>1</v>
      </c>
    </row>
    <row r="113" spans="1:48" x14ac:dyDescent="0.2">
      <c r="A113" s="8" t="s">
        <v>1050</v>
      </c>
      <c r="U113">
        <v>1</v>
      </c>
    </row>
    <row r="114" spans="1:48" x14ac:dyDescent="0.2">
      <c r="A114" s="8" t="s">
        <v>1039</v>
      </c>
      <c r="U114">
        <v>0</v>
      </c>
      <c r="AK114">
        <v>1</v>
      </c>
    </row>
    <row r="115" spans="1:48" x14ac:dyDescent="0.2">
      <c r="A115" s="8" t="s">
        <v>986</v>
      </c>
      <c r="R115">
        <v>0</v>
      </c>
      <c r="S115">
        <v>0</v>
      </c>
      <c r="Z115">
        <v>0</v>
      </c>
      <c r="AC115">
        <v>0</v>
      </c>
    </row>
    <row r="116" spans="1:48" x14ac:dyDescent="0.2">
      <c r="A116" s="8" t="s">
        <v>517</v>
      </c>
      <c r="B116" s="38"/>
      <c r="C116" s="38">
        <v>0</v>
      </c>
      <c r="D116" s="5"/>
      <c r="E116" s="5"/>
      <c r="F116" s="5"/>
      <c r="G116" s="5"/>
      <c r="H116" s="5"/>
      <c r="I116" s="5"/>
      <c r="J116" s="5"/>
      <c r="K116" s="5"/>
      <c r="L116" s="5"/>
      <c r="M116" s="5"/>
      <c r="N116" s="5"/>
      <c r="O116" s="5"/>
      <c r="P116" s="5"/>
      <c r="Q116" s="5"/>
      <c r="R116" s="5"/>
      <c r="AS116">
        <v>1</v>
      </c>
      <c r="AU116">
        <v>1</v>
      </c>
    </row>
    <row r="117" spans="1:48" x14ac:dyDescent="0.2">
      <c r="A117" s="8" t="s">
        <v>1157</v>
      </c>
      <c r="Z117">
        <v>0</v>
      </c>
      <c r="AE117">
        <v>0</v>
      </c>
    </row>
    <row r="118" spans="1:48" x14ac:dyDescent="0.2">
      <c r="A118" s="8" t="s">
        <v>1027</v>
      </c>
      <c r="U118">
        <v>0</v>
      </c>
    </row>
    <row r="119" spans="1:48" x14ac:dyDescent="0.2">
      <c r="A119" s="8" t="s">
        <v>1179</v>
      </c>
      <c r="AB119">
        <v>1</v>
      </c>
      <c r="AQ119">
        <v>1</v>
      </c>
    </row>
    <row r="120" spans="1:48" x14ac:dyDescent="0.2">
      <c r="A120" s="8" t="s">
        <v>1206</v>
      </c>
      <c r="AE120">
        <v>0</v>
      </c>
    </row>
    <row r="121" spans="1:48" x14ac:dyDescent="0.2">
      <c r="A121" s="8" t="s">
        <v>1023</v>
      </c>
      <c r="U121">
        <v>0</v>
      </c>
      <c r="AB121">
        <v>1</v>
      </c>
      <c r="AU121">
        <v>1</v>
      </c>
    </row>
    <row r="122" spans="1:48" x14ac:dyDescent="0.2">
      <c r="A122" s="8" t="s">
        <v>987</v>
      </c>
      <c r="R122">
        <v>0</v>
      </c>
      <c r="AE122">
        <v>0</v>
      </c>
    </row>
    <row r="123" spans="1:48" x14ac:dyDescent="0.2">
      <c r="A123" s="8" t="s">
        <v>1042</v>
      </c>
      <c r="U123">
        <v>1</v>
      </c>
      <c r="AL123">
        <v>1</v>
      </c>
    </row>
    <row r="124" spans="1:48" x14ac:dyDescent="0.2">
      <c r="A124" s="8" t="s">
        <v>647</v>
      </c>
      <c r="E124" s="5"/>
      <c r="F124" s="5">
        <v>0</v>
      </c>
    </row>
    <row r="125" spans="1:48" x14ac:dyDescent="0.2">
      <c r="A125" s="8" t="s">
        <v>648</v>
      </c>
      <c r="E125" s="5"/>
      <c r="F125" s="5">
        <v>1</v>
      </c>
    </row>
    <row r="126" spans="1:48" x14ac:dyDescent="0.2">
      <c r="A126" s="8" t="s">
        <v>799</v>
      </c>
      <c r="K126">
        <v>1</v>
      </c>
      <c r="AD126">
        <v>1</v>
      </c>
      <c r="AK126">
        <v>1</v>
      </c>
      <c r="AN126">
        <v>1</v>
      </c>
      <c r="AV126">
        <v>1</v>
      </c>
    </row>
    <row r="127" spans="1:48" x14ac:dyDescent="0.2">
      <c r="A127" s="8" t="s">
        <v>901</v>
      </c>
      <c r="N127">
        <v>1</v>
      </c>
      <c r="AB127">
        <v>1</v>
      </c>
      <c r="AQ127">
        <v>1</v>
      </c>
    </row>
    <row r="128" spans="1:48" x14ac:dyDescent="0.2">
      <c r="A128" s="8" t="s">
        <v>1040</v>
      </c>
      <c r="U128">
        <v>1</v>
      </c>
      <c r="W128">
        <v>1</v>
      </c>
      <c r="AB128">
        <v>1</v>
      </c>
      <c r="AD128">
        <v>1</v>
      </c>
      <c r="AI128">
        <v>1</v>
      </c>
      <c r="AS128">
        <v>1</v>
      </c>
    </row>
    <row r="129" spans="1:93" x14ac:dyDescent="0.2">
      <c r="A129" s="8" t="s">
        <v>649</v>
      </c>
      <c r="E129" s="5"/>
      <c r="F129" s="5">
        <v>0</v>
      </c>
      <c r="AK129">
        <v>1</v>
      </c>
      <c r="AN129">
        <v>1</v>
      </c>
    </row>
    <row r="130" spans="1:93" x14ac:dyDescent="0.2">
      <c r="A130" s="8" t="s">
        <v>1375</v>
      </c>
      <c r="AI130">
        <v>1</v>
      </c>
    </row>
    <row r="131" spans="1:93" x14ac:dyDescent="0.2">
      <c r="A131" s="8" t="s">
        <v>615</v>
      </c>
      <c r="U131">
        <v>0</v>
      </c>
    </row>
    <row r="132" spans="1:93" s="13" customFormat="1" x14ac:dyDescent="0.2">
      <c r="A132" s="8" t="s">
        <v>907</v>
      </c>
      <c r="B132"/>
      <c r="C132"/>
      <c r="D132"/>
      <c r="E132"/>
      <c r="F132"/>
      <c r="G132"/>
      <c r="H132"/>
      <c r="I132"/>
      <c r="J132"/>
      <c r="K132"/>
      <c r="L132"/>
      <c r="M132"/>
      <c r="N132"/>
      <c r="O132">
        <v>1</v>
      </c>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row>
    <row r="133" spans="1:93" x14ac:dyDescent="0.2">
      <c r="A133" s="8" t="s">
        <v>921</v>
      </c>
      <c r="O133">
        <v>1</v>
      </c>
    </row>
    <row r="134" spans="1:93" x14ac:dyDescent="0.2">
      <c r="A134" s="8" t="s">
        <v>1049</v>
      </c>
      <c r="U134">
        <v>1</v>
      </c>
    </row>
    <row r="135" spans="1:93" x14ac:dyDescent="0.2">
      <c r="A135" s="8" t="s">
        <v>1051</v>
      </c>
      <c r="U135">
        <v>1</v>
      </c>
    </row>
    <row r="136" spans="1:93" x14ac:dyDescent="0.2">
      <c r="A136" s="8" t="s">
        <v>807</v>
      </c>
      <c r="K136">
        <v>1</v>
      </c>
      <c r="AD136">
        <v>1</v>
      </c>
    </row>
    <row r="137" spans="1:93" x14ac:dyDescent="0.2">
      <c r="A137" s="8" t="s">
        <v>485</v>
      </c>
      <c r="B137" s="38">
        <v>1</v>
      </c>
      <c r="C137" s="38"/>
      <c r="D137" s="5">
        <v>1</v>
      </c>
      <c r="E137" s="5"/>
      <c r="F137" s="5">
        <v>1</v>
      </c>
      <c r="G137" s="5"/>
      <c r="H137" s="5"/>
      <c r="I137" s="5"/>
      <c r="J137" s="5"/>
      <c r="K137" s="5"/>
      <c r="L137" s="5"/>
      <c r="M137" s="5"/>
      <c r="N137" s="5"/>
      <c r="O137" s="5">
        <v>1</v>
      </c>
      <c r="P137" s="5"/>
      <c r="Q137" s="5"/>
      <c r="R137" s="5"/>
      <c r="AD137">
        <v>1</v>
      </c>
      <c r="AK137">
        <v>1</v>
      </c>
      <c r="AN137">
        <v>1</v>
      </c>
    </row>
    <row r="138" spans="1:93" x14ac:dyDescent="0.2">
      <c r="A138" s="8" t="s">
        <v>941</v>
      </c>
      <c r="O138">
        <v>1</v>
      </c>
    </row>
    <row r="139" spans="1:93" x14ac:dyDescent="0.2">
      <c r="A139" s="8" t="s">
        <v>908</v>
      </c>
      <c r="O139">
        <v>1</v>
      </c>
      <c r="AD139">
        <v>1</v>
      </c>
    </row>
    <row r="140" spans="1:93" x14ac:dyDescent="0.2">
      <c r="A140" s="8" t="s">
        <v>650</v>
      </c>
      <c r="E140" s="5"/>
      <c r="F140" s="5">
        <v>1</v>
      </c>
      <c r="J140">
        <v>1</v>
      </c>
      <c r="K140">
        <v>1</v>
      </c>
      <c r="U140">
        <v>1</v>
      </c>
    </row>
    <row r="141" spans="1:93" x14ac:dyDescent="0.2">
      <c r="A141" s="8" t="s">
        <v>803</v>
      </c>
      <c r="K141">
        <v>1</v>
      </c>
      <c r="AV141">
        <v>1</v>
      </c>
    </row>
    <row r="142" spans="1:93" x14ac:dyDescent="0.2">
      <c r="A142" s="8" t="s">
        <v>1048</v>
      </c>
      <c r="U142">
        <v>1</v>
      </c>
      <c r="W142">
        <v>1</v>
      </c>
      <c r="AI142">
        <v>1</v>
      </c>
    </row>
    <row r="143" spans="1:93" x14ac:dyDescent="0.2">
      <c r="A143" s="8" t="s">
        <v>1190</v>
      </c>
      <c r="AD143">
        <v>1</v>
      </c>
      <c r="AH143">
        <v>1</v>
      </c>
      <c r="AR143">
        <v>1</v>
      </c>
      <c r="AS143">
        <v>1</v>
      </c>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row>
    <row r="144" spans="1:93" x14ac:dyDescent="0.2">
      <c r="A144" s="8" t="s">
        <v>651</v>
      </c>
      <c r="E144" s="5"/>
      <c r="F144" s="5">
        <v>1</v>
      </c>
      <c r="G144">
        <v>1</v>
      </c>
      <c r="AI144">
        <v>1</v>
      </c>
      <c r="AO144">
        <v>1</v>
      </c>
    </row>
    <row r="145" spans="1:48" x14ac:dyDescent="0.2">
      <c r="A145" s="8" t="s">
        <v>736</v>
      </c>
      <c r="E145" s="5"/>
      <c r="G145">
        <v>1</v>
      </c>
      <c r="U145">
        <v>1</v>
      </c>
      <c r="AI145">
        <v>1</v>
      </c>
      <c r="AO145">
        <v>1</v>
      </c>
    </row>
    <row r="146" spans="1:48" x14ac:dyDescent="0.2">
      <c r="A146" s="8" t="s">
        <v>800</v>
      </c>
      <c r="K146">
        <v>1</v>
      </c>
      <c r="AK146">
        <v>1</v>
      </c>
      <c r="AV146">
        <v>1</v>
      </c>
    </row>
    <row r="147" spans="1:48" x14ac:dyDescent="0.2">
      <c r="A147" s="8" t="s">
        <v>652</v>
      </c>
      <c r="E147" s="5"/>
      <c r="F147" s="5">
        <v>0</v>
      </c>
      <c r="U147">
        <v>1</v>
      </c>
      <c r="X147">
        <v>1</v>
      </c>
      <c r="AK147">
        <v>1</v>
      </c>
      <c r="AP147">
        <v>1</v>
      </c>
    </row>
    <row r="148" spans="1:48" x14ac:dyDescent="0.2">
      <c r="A148" s="8" t="s">
        <v>1187</v>
      </c>
      <c r="S148">
        <v>0</v>
      </c>
      <c r="Z148">
        <v>1</v>
      </c>
      <c r="AC148">
        <v>1</v>
      </c>
    </row>
    <row r="149" spans="1:48" x14ac:dyDescent="0.2">
      <c r="A149" s="8" t="s">
        <v>653</v>
      </c>
      <c r="E149" s="5"/>
      <c r="F149" s="5">
        <v>1</v>
      </c>
    </row>
    <row r="150" spans="1:48" x14ac:dyDescent="0.2">
      <c r="A150" s="8" t="s">
        <v>761</v>
      </c>
      <c r="H150">
        <v>1</v>
      </c>
      <c r="R150">
        <v>1</v>
      </c>
      <c r="S150">
        <v>1</v>
      </c>
      <c r="Z150">
        <v>1</v>
      </c>
      <c r="AC150">
        <v>1</v>
      </c>
    </row>
    <row r="151" spans="1:48" x14ac:dyDescent="0.2">
      <c r="A151" s="8" t="s">
        <v>1340</v>
      </c>
      <c r="AQ151">
        <v>0</v>
      </c>
    </row>
    <row r="152" spans="1:48" x14ac:dyDescent="0.2">
      <c r="A152" s="8" t="s">
        <v>1104</v>
      </c>
      <c r="W152">
        <v>1</v>
      </c>
      <c r="AL152">
        <v>1</v>
      </c>
    </row>
    <row r="153" spans="1:48" x14ac:dyDescent="0.2">
      <c r="A153" s="8" t="s">
        <v>1024</v>
      </c>
      <c r="U153">
        <v>1</v>
      </c>
    </row>
    <row r="154" spans="1:48" x14ac:dyDescent="0.2">
      <c r="A154" s="8" t="s">
        <v>855</v>
      </c>
      <c r="L154">
        <v>1</v>
      </c>
      <c r="U154">
        <v>1</v>
      </c>
      <c r="AK154">
        <v>1</v>
      </c>
    </row>
    <row r="155" spans="1:48" x14ac:dyDescent="0.2">
      <c r="A155" s="8" t="s">
        <v>1322</v>
      </c>
      <c r="AO155">
        <v>1</v>
      </c>
    </row>
    <row r="156" spans="1:48" x14ac:dyDescent="0.2">
      <c r="A156" s="8" t="s">
        <v>1373</v>
      </c>
      <c r="AI156">
        <v>0</v>
      </c>
    </row>
    <row r="157" spans="1:48" x14ac:dyDescent="0.2">
      <c r="A157" s="8" t="s">
        <v>922</v>
      </c>
      <c r="O157">
        <v>1</v>
      </c>
    </row>
    <row r="158" spans="1:48" x14ac:dyDescent="0.2">
      <c r="A158" s="8" t="s">
        <v>1205</v>
      </c>
      <c r="AE158">
        <v>1</v>
      </c>
    </row>
    <row r="159" spans="1:48" x14ac:dyDescent="0.2">
      <c r="A159" s="8" t="s">
        <v>1374</v>
      </c>
      <c r="AI159">
        <v>1</v>
      </c>
    </row>
    <row r="160" spans="1:48" x14ac:dyDescent="0.2">
      <c r="A160" s="8" t="s">
        <v>1325</v>
      </c>
      <c r="AO160">
        <v>0</v>
      </c>
    </row>
    <row r="161" spans="1:46" x14ac:dyDescent="0.2">
      <c r="A161" s="8" t="s">
        <v>654</v>
      </c>
      <c r="E161" s="5"/>
      <c r="F161" s="5">
        <v>1</v>
      </c>
    </row>
    <row r="162" spans="1:46" x14ac:dyDescent="0.2">
      <c r="A162" s="8" t="s">
        <v>1326</v>
      </c>
      <c r="AO162">
        <v>0</v>
      </c>
    </row>
    <row r="163" spans="1:46" x14ac:dyDescent="0.2">
      <c r="A163" s="8" t="s">
        <v>1209</v>
      </c>
      <c r="AE163">
        <v>1</v>
      </c>
    </row>
    <row r="164" spans="1:46" x14ac:dyDescent="0.2">
      <c r="A164" s="8" t="s">
        <v>854</v>
      </c>
      <c r="L164">
        <v>1</v>
      </c>
    </row>
    <row r="165" spans="1:46" x14ac:dyDescent="0.2">
      <c r="A165" s="8" t="s">
        <v>1037</v>
      </c>
      <c r="U165">
        <v>0</v>
      </c>
      <c r="AS165">
        <v>1</v>
      </c>
    </row>
    <row r="166" spans="1:46" x14ac:dyDescent="0.2">
      <c r="A166" s="8" t="s">
        <v>1180</v>
      </c>
      <c r="AB166">
        <v>1</v>
      </c>
      <c r="AI166">
        <v>1</v>
      </c>
      <c r="AQ166">
        <v>1</v>
      </c>
    </row>
    <row r="167" spans="1:46" x14ac:dyDescent="0.2">
      <c r="A167" s="8" t="s">
        <v>1378</v>
      </c>
      <c r="AI167">
        <v>0</v>
      </c>
    </row>
    <row r="168" spans="1:46" x14ac:dyDescent="0.2">
      <c r="A168" s="8" t="s">
        <v>1043</v>
      </c>
      <c r="U168">
        <v>1</v>
      </c>
      <c r="W168">
        <v>1</v>
      </c>
      <c r="AL168">
        <v>1</v>
      </c>
      <c r="AT168">
        <v>1</v>
      </c>
    </row>
    <row r="169" spans="1:46" x14ac:dyDescent="0.2">
      <c r="A169" s="8" t="s">
        <v>655</v>
      </c>
      <c r="E169" s="5"/>
      <c r="F169" s="5">
        <v>0</v>
      </c>
    </row>
    <row r="170" spans="1:46" x14ac:dyDescent="0.2">
      <c r="A170" s="8" t="s">
        <v>1273</v>
      </c>
      <c r="AK170">
        <v>1</v>
      </c>
    </row>
    <row r="171" spans="1:46" x14ac:dyDescent="0.2">
      <c r="A171" s="8" t="s">
        <v>1336</v>
      </c>
      <c r="AO171">
        <v>1</v>
      </c>
    </row>
    <row r="172" spans="1:46" x14ac:dyDescent="0.2">
      <c r="A172" s="8" t="s">
        <v>656</v>
      </c>
      <c r="E172" s="5"/>
      <c r="F172" s="5">
        <v>1</v>
      </c>
      <c r="W172">
        <v>1</v>
      </c>
      <c r="AI172">
        <v>1</v>
      </c>
      <c r="AQ172">
        <v>1</v>
      </c>
    </row>
    <row r="173" spans="1:46" x14ac:dyDescent="0.2">
      <c r="A173" s="8" t="s">
        <v>886</v>
      </c>
      <c r="M173">
        <v>0</v>
      </c>
    </row>
    <row r="174" spans="1:46" x14ac:dyDescent="0.2">
      <c r="A174" s="8" t="s">
        <v>1156</v>
      </c>
      <c r="Z174">
        <v>0</v>
      </c>
    </row>
    <row r="175" spans="1:46" x14ac:dyDescent="0.2">
      <c r="A175" s="8" t="s">
        <v>988</v>
      </c>
      <c r="R175">
        <v>1</v>
      </c>
      <c r="AC175">
        <v>1</v>
      </c>
      <c r="AG175">
        <v>1</v>
      </c>
    </row>
    <row r="176" spans="1:46" x14ac:dyDescent="0.2">
      <c r="A176" s="8" t="s">
        <v>657</v>
      </c>
      <c r="E176" s="5"/>
      <c r="F176" s="5">
        <v>1</v>
      </c>
    </row>
    <row r="177" spans="1:47" x14ac:dyDescent="0.2">
      <c r="A177" s="8" t="s">
        <v>1026</v>
      </c>
      <c r="U177">
        <v>0</v>
      </c>
    </row>
    <row r="178" spans="1:47" x14ac:dyDescent="0.2">
      <c r="A178" s="8" t="s">
        <v>515</v>
      </c>
      <c r="B178" s="38"/>
      <c r="C178" s="38">
        <v>1</v>
      </c>
      <c r="D178" s="5"/>
      <c r="E178" s="5"/>
      <c r="F178" s="5"/>
      <c r="G178" s="5"/>
      <c r="H178" s="5"/>
      <c r="I178" s="5"/>
      <c r="J178" s="5"/>
      <c r="K178" s="5"/>
      <c r="L178" s="5"/>
      <c r="M178" s="5"/>
      <c r="N178" s="5"/>
      <c r="O178" s="5"/>
      <c r="P178" s="5"/>
      <c r="Q178" s="5"/>
      <c r="R178" s="5"/>
      <c r="U178">
        <v>1</v>
      </c>
      <c r="W178">
        <v>1</v>
      </c>
      <c r="AI178">
        <v>1</v>
      </c>
      <c r="AS178">
        <v>1</v>
      </c>
      <c r="AU178">
        <v>1</v>
      </c>
    </row>
    <row r="179" spans="1:47" x14ac:dyDescent="0.2">
      <c r="A179" s="8" t="s">
        <v>514</v>
      </c>
      <c r="B179" s="38"/>
      <c r="C179" s="38">
        <v>1</v>
      </c>
      <c r="D179" s="5">
        <v>1</v>
      </c>
      <c r="E179" s="5"/>
      <c r="F179" s="5"/>
      <c r="G179" s="5"/>
      <c r="H179" s="5"/>
      <c r="I179" s="5"/>
      <c r="J179" s="5"/>
      <c r="K179" s="5">
        <v>1</v>
      </c>
      <c r="L179" s="5"/>
      <c r="M179" s="5"/>
      <c r="N179" s="5"/>
      <c r="O179" s="5"/>
      <c r="P179" s="5"/>
      <c r="Q179" s="5"/>
      <c r="R179" s="5"/>
      <c r="W179">
        <v>1</v>
      </c>
      <c r="AD179">
        <v>1</v>
      </c>
      <c r="AK179">
        <v>1</v>
      </c>
      <c r="AN179">
        <v>1</v>
      </c>
      <c r="AS179">
        <v>1</v>
      </c>
      <c r="AU179">
        <v>1</v>
      </c>
    </row>
    <row r="180" spans="1:47" x14ac:dyDescent="0.2">
      <c r="A180" s="8" t="s">
        <v>1306</v>
      </c>
      <c r="AN180">
        <v>1</v>
      </c>
    </row>
    <row r="181" spans="1:47" x14ac:dyDescent="0.2">
      <c r="A181" s="8" t="s">
        <v>658</v>
      </c>
      <c r="E181" s="5"/>
      <c r="F181" s="5">
        <v>0</v>
      </c>
      <c r="K181">
        <v>0</v>
      </c>
      <c r="T181">
        <v>0</v>
      </c>
      <c r="AA181">
        <v>1</v>
      </c>
      <c r="AD181">
        <v>1</v>
      </c>
      <c r="AM181">
        <v>1</v>
      </c>
      <c r="AN181">
        <v>1</v>
      </c>
    </row>
    <row r="182" spans="1:47" x14ac:dyDescent="0.2">
      <c r="A182" s="8" t="s">
        <v>914</v>
      </c>
      <c r="O182">
        <v>1</v>
      </c>
    </row>
    <row r="183" spans="1:47" x14ac:dyDescent="0.2">
      <c r="A183" s="8" t="s">
        <v>1181</v>
      </c>
      <c r="AB183">
        <v>0</v>
      </c>
      <c r="AQ183">
        <v>0</v>
      </c>
    </row>
    <row r="184" spans="1:47" x14ac:dyDescent="0.2">
      <c r="A184" s="8" t="s">
        <v>1366</v>
      </c>
      <c r="AI184">
        <v>1</v>
      </c>
    </row>
    <row r="185" spans="1:47" x14ac:dyDescent="0.2">
      <c r="A185" s="8" t="s">
        <v>791</v>
      </c>
      <c r="I185">
        <v>1</v>
      </c>
      <c r="W185">
        <v>1</v>
      </c>
      <c r="AN185">
        <v>1</v>
      </c>
      <c r="AO185">
        <v>1</v>
      </c>
    </row>
    <row r="186" spans="1:47" x14ac:dyDescent="0.2">
      <c r="A186" s="8" t="s">
        <v>659</v>
      </c>
      <c r="E186" s="5"/>
      <c r="F186" s="5">
        <v>0</v>
      </c>
    </row>
    <row r="187" spans="1:47" x14ac:dyDescent="0.2">
      <c r="A187" s="8" t="s">
        <v>763</v>
      </c>
      <c r="H187">
        <v>1</v>
      </c>
      <c r="Z187">
        <v>1</v>
      </c>
    </row>
    <row r="188" spans="1:47" x14ac:dyDescent="0.2">
      <c r="A188" s="8" t="s">
        <v>1296</v>
      </c>
      <c r="AM188">
        <v>1</v>
      </c>
    </row>
    <row r="189" spans="1:47" x14ac:dyDescent="0.2">
      <c r="A189" s="8" t="s">
        <v>1151</v>
      </c>
      <c r="Z189">
        <v>1</v>
      </c>
      <c r="AE189">
        <v>1</v>
      </c>
    </row>
    <row r="190" spans="1:47" x14ac:dyDescent="0.2">
      <c r="A190" s="8" t="s">
        <v>1035</v>
      </c>
      <c r="U190">
        <v>1</v>
      </c>
      <c r="AB190">
        <v>1</v>
      </c>
      <c r="AQ190">
        <v>1</v>
      </c>
    </row>
    <row r="191" spans="1:47" x14ac:dyDescent="0.2">
      <c r="A191" s="8" t="s">
        <v>1108</v>
      </c>
      <c r="W191">
        <v>1</v>
      </c>
    </row>
    <row r="192" spans="1:47" x14ac:dyDescent="0.2">
      <c r="A192" s="8" t="s">
        <v>553</v>
      </c>
      <c r="B192" s="38"/>
      <c r="C192" s="38"/>
      <c r="D192" s="5">
        <v>1</v>
      </c>
      <c r="E192" s="5"/>
      <c r="F192" s="5"/>
      <c r="G192" s="5"/>
      <c r="H192" s="5"/>
      <c r="I192" s="5"/>
      <c r="J192" s="5"/>
      <c r="K192" s="5"/>
      <c r="L192" s="5"/>
      <c r="M192" s="5"/>
      <c r="N192" s="5"/>
      <c r="O192" s="5"/>
      <c r="P192" s="5"/>
      <c r="Q192" s="5"/>
      <c r="R192" s="5"/>
      <c r="AK192">
        <v>1</v>
      </c>
    </row>
    <row r="193" spans="1:43" x14ac:dyDescent="0.2">
      <c r="A193" s="8" t="s">
        <v>989</v>
      </c>
      <c r="R193">
        <v>1</v>
      </c>
    </row>
    <row r="194" spans="1:43" x14ac:dyDescent="0.2">
      <c r="A194" s="8" t="s">
        <v>990</v>
      </c>
      <c r="R194">
        <v>1</v>
      </c>
      <c r="AE194">
        <v>1</v>
      </c>
    </row>
    <row r="195" spans="1:43" x14ac:dyDescent="0.2">
      <c r="A195" s="8" t="s">
        <v>1371</v>
      </c>
      <c r="AI195">
        <v>1</v>
      </c>
    </row>
    <row r="196" spans="1:43" x14ac:dyDescent="0.2">
      <c r="A196" s="8" t="s">
        <v>1106</v>
      </c>
      <c r="W196">
        <v>0</v>
      </c>
      <c r="AN196">
        <v>0</v>
      </c>
    </row>
    <row r="197" spans="1:43" x14ac:dyDescent="0.2">
      <c r="A197" s="8" t="s">
        <v>491</v>
      </c>
      <c r="B197" s="38">
        <v>0</v>
      </c>
      <c r="C197" s="38"/>
      <c r="D197" s="5"/>
      <c r="E197" s="5"/>
      <c r="F197" s="5"/>
      <c r="G197" s="5"/>
      <c r="H197" s="5"/>
      <c r="I197" s="5"/>
      <c r="J197" s="5"/>
      <c r="K197" s="5"/>
      <c r="L197" s="5"/>
      <c r="M197" s="5"/>
      <c r="N197" s="5"/>
      <c r="O197" s="5"/>
      <c r="P197" s="5"/>
      <c r="Q197" s="5"/>
      <c r="R197" s="5"/>
    </row>
    <row r="198" spans="1:43" x14ac:dyDescent="0.2">
      <c r="A198" s="8" t="s">
        <v>991</v>
      </c>
      <c r="R198">
        <v>1</v>
      </c>
      <c r="AI198">
        <v>1</v>
      </c>
    </row>
    <row r="199" spans="1:43" x14ac:dyDescent="0.2">
      <c r="A199" s="8" t="s">
        <v>1367</v>
      </c>
      <c r="AI199">
        <v>1</v>
      </c>
    </row>
    <row r="200" spans="1:43" x14ac:dyDescent="0.2">
      <c r="A200" s="8" t="s">
        <v>1379</v>
      </c>
      <c r="AI200">
        <v>0</v>
      </c>
    </row>
    <row r="201" spans="1:43" x14ac:dyDescent="0.2">
      <c r="A201" s="8" t="s">
        <v>1341</v>
      </c>
      <c r="AQ201">
        <v>0</v>
      </c>
    </row>
    <row r="202" spans="1:43" x14ac:dyDescent="0.2">
      <c r="A202" s="8" t="s">
        <v>1183</v>
      </c>
      <c r="AB202">
        <v>1</v>
      </c>
      <c r="AQ202">
        <v>1</v>
      </c>
    </row>
    <row r="203" spans="1:43" x14ac:dyDescent="0.2">
      <c r="A203" s="8" t="s">
        <v>1182</v>
      </c>
      <c r="AB203">
        <v>1</v>
      </c>
      <c r="AQ203">
        <v>1</v>
      </c>
    </row>
    <row r="204" spans="1:43" x14ac:dyDescent="0.2">
      <c r="A204" s="8" t="s">
        <v>1277</v>
      </c>
      <c r="AK204">
        <v>1</v>
      </c>
    </row>
    <row r="205" spans="1:43" x14ac:dyDescent="0.2">
      <c r="A205" s="8" t="s">
        <v>806</v>
      </c>
      <c r="K205">
        <v>1</v>
      </c>
      <c r="AD205">
        <v>1</v>
      </c>
    </row>
    <row r="206" spans="1:43" x14ac:dyDescent="0.2">
      <c r="A206" s="8" t="s">
        <v>906</v>
      </c>
      <c r="O206">
        <v>1</v>
      </c>
    </row>
    <row r="207" spans="1:43" x14ac:dyDescent="0.2">
      <c r="A207" s="8" t="s">
        <v>660</v>
      </c>
      <c r="E207" s="5"/>
      <c r="F207" s="5">
        <v>1</v>
      </c>
    </row>
    <row r="208" spans="1:43" x14ac:dyDescent="0.2">
      <c r="A208" s="8" t="s">
        <v>1202</v>
      </c>
      <c r="AE208">
        <v>1</v>
      </c>
    </row>
    <row r="209" spans="1:47" x14ac:dyDescent="0.2">
      <c r="A209" s="8" t="s">
        <v>902</v>
      </c>
      <c r="N209">
        <v>1</v>
      </c>
      <c r="Q209">
        <v>1</v>
      </c>
      <c r="AB209">
        <v>1</v>
      </c>
    </row>
    <row r="210" spans="1:47" x14ac:dyDescent="0.2">
      <c r="A210" s="8" t="s">
        <v>1274</v>
      </c>
      <c r="AK210">
        <v>1</v>
      </c>
    </row>
    <row r="211" spans="1:47" x14ac:dyDescent="0.2">
      <c r="A211" s="8" t="s">
        <v>1324</v>
      </c>
      <c r="AO211">
        <v>1</v>
      </c>
    </row>
    <row r="212" spans="1:47" x14ac:dyDescent="0.2">
      <c r="A212" s="8" t="s">
        <v>887</v>
      </c>
      <c r="M212">
        <v>1</v>
      </c>
    </row>
    <row r="213" spans="1:47" x14ac:dyDescent="0.2">
      <c r="A213" s="8" t="s">
        <v>1107</v>
      </c>
      <c r="W213">
        <v>0</v>
      </c>
      <c r="AB213">
        <v>0</v>
      </c>
      <c r="AQ213">
        <v>0</v>
      </c>
    </row>
    <row r="214" spans="1:47" x14ac:dyDescent="0.2">
      <c r="A214" s="8" t="s">
        <v>1046</v>
      </c>
      <c r="U214">
        <v>1</v>
      </c>
    </row>
    <row r="215" spans="1:47" x14ac:dyDescent="0.2">
      <c r="A215" s="8" t="s">
        <v>978</v>
      </c>
      <c r="Q215">
        <v>0</v>
      </c>
    </row>
    <row r="216" spans="1:47" x14ac:dyDescent="0.2">
      <c r="A216" s="8" t="s">
        <v>1153</v>
      </c>
      <c r="Z216">
        <v>1</v>
      </c>
      <c r="AE216">
        <v>1</v>
      </c>
      <c r="AI216">
        <v>1</v>
      </c>
    </row>
    <row r="217" spans="1:47" x14ac:dyDescent="0.2">
      <c r="A217" s="8" t="s">
        <v>1275</v>
      </c>
      <c r="AK217">
        <v>1</v>
      </c>
    </row>
    <row r="218" spans="1:47" x14ac:dyDescent="0.2">
      <c r="A218" s="8" t="s">
        <v>488</v>
      </c>
      <c r="B218" s="38">
        <v>0</v>
      </c>
      <c r="C218" s="38"/>
      <c r="D218" s="5"/>
      <c r="E218" s="5"/>
      <c r="F218" s="5"/>
      <c r="G218" s="5"/>
      <c r="H218" s="5"/>
      <c r="I218" s="5"/>
      <c r="J218" s="5"/>
      <c r="K218" s="5"/>
      <c r="L218" s="5"/>
      <c r="M218" s="5"/>
      <c r="N218" s="5"/>
      <c r="O218" s="5"/>
      <c r="P218" s="5"/>
      <c r="Q218" s="5"/>
      <c r="R218" s="5"/>
    </row>
    <row r="219" spans="1:47" x14ac:dyDescent="0.2">
      <c r="A219" s="8" t="s">
        <v>661</v>
      </c>
      <c r="E219" s="5"/>
      <c r="F219" s="5">
        <v>1</v>
      </c>
      <c r="AK219">
        <v>1</v>
      </c>
    </row>
    <row r="220" spans="1:47" x14ac:dyDescent="0.2">
      <c r="A220" s="8" t="s">
        <v>905</v>
      </c>
      <c r="O220">
        <v>1</v>
      </c>
    </row>
    <row r="221" spans="1:47" x14ac:dyDescent="0.2">
      <c r="A221" s="8" t="s">
        <v>900</v>
      </c>
      <c r="N221">
        <v>1</v>
      </c>
      <c r="Q221">
        <v>1</v>
      </c>
      <c r="W221">
        <v>1</v>
      </c>
      <c r="AB221">
        <v>1</v>
      </c>
      <c r="AO221">
        <v>1</v>
      </c>
      <c r="AQ221">
        <v>1</v>
      </c>
    </row>
    <row r="222" spans="1:47" x14ac:dyDescent="0.2">
      <c r="A222" s="8" t="s">
        <v>1044</v>
      </c>
      <c r="U222">
        <v>1</v>
      </c>
    </row>
    <row r="223" spans="1:47" x14ac:dyDescent="0.2">
      <c r="A223" s="8" t="s">
        <v>518</v>
      </c>
      <c r="B223" s="38"/>
      <c r="C223" s="38">
        <v>1</v>
      </c>
      <c r="D223" s="5"/>
      <c r="E223" s="5"/>
      <c r="F223" s="5">
        <v>1</v>
      </c>
      <c r="G223" s="5"/>
      <c r="H223" s="5"/>
      <c r="I223" s="5"/>
      <c r="J223" s="5"/>
      <c r="K223" s="5"/>
      <c r="L223" s="5"/>
      <c r="M223" s="5"/>
      <c r="N223" s="5"/>
      <c r="O223" s="5">
        <v>1</v>
      </c>
      <c r="P223" s="5"/>
      <c r="Q223" s="5"/>
      <c r="R223" s="5"/>
      <c r="AK223">
        <v>1</v>
      </c>
      <c r="AN223">
        <v>1</v>
      </c>
      <c r="AS223">
        <v>1</v>
      </c>
      <c r="AU223">
        <v>1</v>
      </c>
    </row>
    <row r="224" spans="1:47" x14ac:dyDescent="0.2">
      <c r="A224" s="8" t="s">
        <v>1359</v>
      </c>
      <c r="AU224">
        <v>1</v>
      </c>
    </row>
    <row r="225" spans="1:48" x14ac:dyDescent="0.2">
      <c r="A225" s="8" t="s">
        <v>1038</v>
      </c>
      <c r="U225">
        <v>1</v>
      </c>
      <c r="AI225">
        <v>1</v>
      </c>
    </row>
    <row r="226" spans="1:48" x14ac:dyDescent="0.2">
      <c r="A226" s="8" t="s">
        <v>1041</v>
      </c>
      <c r="U226">
        <v>1</v>
      </c>
      <c r="AI226">
        <v>1</v>
      </c>
    </row>
    <row r="227" spans="1:48" x14ac:dyDescent="0.2">
      <c r="A227" s="8" t="s">
        <v>1204</v>
      </c>
      <c r="AE227">
        <v>0</v>
      </c>
      <c r="AI227">
        <v>1</v>
      </c>
    </row>
    <row r="228" spans="1:48" x14ac:dyDescent="0.2">
      <c r="A228" s="8" t="s">
        <v>1293</v>
      </c>
      <c r="AL228">
        <v>0</v>
      </c>
    </row>
    <row r="229" spans="1:48" x14ac:dyDescent="0.2">
      <c r="A229" s="8" t="s">
        <v>662</v>
      </c>
      <c r="E229" s="5"/>
      <c r="F229" s="5">
        <v>0</v>
      </c>
      <c r="Q229">
        <v>1</v>
      </c>
      <c r="Y229">
        <v>1</v>
      </c>
      <c r="AJ229">
        <v>1</v>
      </c>
    </row>
    <row r="230" spans="1:48" x14ac:dyDescent="0.2">
      <c r="A230" s="8" t="s">
        <v>1294</v>
      </c>
      <c r="AL230">
        <v>0</v>
      </c>
    </row>
    <row r="231" spans="1:48" x14ac:dyDescent="0.2">
      <c r="A231" s="8" t="s">
        <v>1233</v>
      </c>
      <c r="E231" s="5"/>
      <c r="F231" s="5">
        <v>1</v>
      </c>
      <c r="J231">
        <v>1</v>
      </c>
      <c r="W231">
        <v>1</v>
      </c>
      <c r="AL231">
        <v>1</v>
      </c>
    </row>
    <row r="232" spans="1:48" x14ac:dyDescent="0.2">
      <c r="A232" s="8" t="s">
        <v>1105</v>
      </c>
      <c r="W232">
        <v>1</v>
      </c>
    </row>
    <row r="233" spans="1:48" x14ac:dyDescent="0.2">
      <c r="A233" s="8" t="s">
        <v>1029</v>
      </c>
      <c r="U233">
        <v>0</v>
      </c>
    </row>
    <row r="234" spans="1:48" x14ac:dyDescent="0.2">
      <c r="A234" s="8" t="s">
        <v>1308</v>
      </c>
      <c r="AN234">
        <v>1</v>
      </c>
    </row>
    <row r="235" spans="1:48" x14ac:dyDescent="0.2">
      <c r="A235" s="8" t="s">
        <v>1307</v>
      </c>
      <c r="AN235">
        <v>1</v>
      </c>
    </row>
    <row r="236" spans="1:48" x14ac:dyDescent="0.2">
      <c r="A236" s="8" t="s">
        <v>1276</v>
      </c>
      <c r="AK236">
        <v>1</v>
      </c>
    </row>
    <row r="237" spans="1:48" x14ac:dyDescent="0.2">
      <c r="A237" s="8" t="s">
        <v>1031</v>
      </c>
      <c r="U237">
        <v>0</v>
      </c>
    </row>
    <row r="238" spans="1:48" x14ac:dyDescent="0.2">
      <c r="A238" s="8" t="s">
        <v>1031</v>
      </c>
      <c r="AH238">
        <v>1</v>
      </c>
      <c r="AR238">
        <v>1</v>
      </c>
    </row>
    <row r="239" spans="1:48" x14ac:dyDescent="0.2">
      <c r="A239" s="8" t="s">
        <v>1343</v>
      </c>
      <c r="AR239">
        <v>0</v>
      </c>
    </row>
    <row r="240" spans="1:48" x14ac:dyDescent="0.2">
      <c r="A240" s="8" t="s">
        <v>516</v>
      </c>
      <c r="B240" s="38"/>
      <c r="C240" s="38">
        <v>1</v>
      </c>
      <c r="D240" s="5">
        <v>1</v>
      </c>
      <c r="E240" s="5"/>
      <c r="F240" s="5">
        <v>1</v>
      </c>
      <c r="G240" s="5"/>
      <c r="H240" s="5"/>
      <c r="I240" s="5"/>
      <c r="J240" s="5"/>
      <c r="K240" s="5"/>
      <c r="L240" s="5"/>
      <c r="M240" s="5"/>
      <c r="N240" s="5"/>
      <c r="O240" s="5"/>
      <c r="P240" s="5"/>
      <c r="Q240" s="5"/>
      <c r="R240" s="5"/>
      <c r="AD240">
        <v>1</v>
      </c>
      <c r="AS240">
        <v>1</v>
      </c>
      <c r="AU240">
        <v>1</v>
      </c>
      <c r="AV240">
        <v>1</v>
      </c>
    </row>
    <row r="241" spans="1:48" x14ac:dyDescent="0.2">
      <c r="A241" s="8" t="s">
        <v>853</v>
      </c>
      <c r="L241">
        <v>1</v>
      </c>
    </row>
    <row r="242" spans="1:48" x14ac:dyDescent="0.2">
      <c r="A242" s="8" t="s">
        <v>992</v>
      </c>
      <c r="R242">
        <v>1</v>
      </c>
      <c r="V242">
        <v>1</v>
      </c>
      <c r="AC242">
        <v>1</v>
      </c>
      <c r="AG242">
        <v>1</v>
      </c>
    </row>
    <row r="243" spans="1:48" x14ac:dyDescent="0.2">
      <c r="A243" s="8" t="s">
        <v>993</v>
      </c>
      <c r="R243">
        <v>0</v>
      </c>
      <c r="Z243">
        <v>0</v>
      </c>
      <c r="AE243">
        <v>0</v>
      </c>
      <c r="AI243">
        <v>1</v>
      </c>
    </row>
    <row r="244" spans="1:48" x14ac:dyDescent="0.2">
      <c r="A244" s="8" t="s">
        <v>923</v>
      </c>
      <c r="O244">
        <v>1</v>
      </c>
    </row>
    <row r="245" spans="1:48" x14ac:dyDescent="0.2">
      <c r="A245" s="8" t="s">
        <v>519</v>
      </c>
      <c r="B245" s="38"/>
      <c r="C245" s="38">
        <v>1</v>
      </c>
      <c r="D245" s="5"/>
      <c r="E245" s="5"/>
      <c r="F245" s="5"/>
      <c r="G245" s="5"/>
      <c r="H245" s="5"/>
      <c r="I245" s="5"/>
      <c r="J245" s="5"/>
      <c r="K245" s="5"/>
      <c r="L245" s="5"/>
      <c r="M245" s="5"/>
      <c r="N245" s="5"/>
      <c r="O245" s="5"/>
      <c r="P245" s="5"/>
      <c r="Q245" s="5"/>
      <c r="R245" s="5"/>
      <c r="AD245">
        <v>1</v>
      </c>
      <c r="AK245">
        <v>1</v>
      </c>
      <c r="AN245">
        <v>1</v>
      </c>
    </row>
    <row r="246" spans="1:48" x14ac:dyDescent="0.2">
      <c r="A246" s="8" t="s">
        <v>663</v>
      </c>
      <c r="E246" s="5"/>
      <c r="F246" s="5">
        <v>1</v>
      </c>
      <c r="AK246">
        <v>1</v>
      </c>
    </row>
    <row r="247" spans="1:48" x14ac:dyDescent="0.2">
      <c r="A247" s="8" t="s">
        <v>910</v>
      </c>
      <c r="O247">
        <v>1</v>
      </c>
    </row>
    <row r="248" spans="1:48" x14ac:dyDescent="0.2">
      <c r="A248" s="8" t="s">
        <v>802</v>
      </c>
      <c r="K248">
        <v>1</v>
      </c>
      <c r="AD248">
        <v>1</v>
      </c>
      <c r="AV248">
        <v>1</v>
      </c>
    </row>
    <row r="249" spans="1:48" x14ac:dyDescent="0.2">
      <c r="A249" s="8" t="s">
        <v>1380</v>
      </c>
      <c r="AI249">
        <v>1</v>
      </c>
    </row>
    <row r="250" spans="1:48" x14ac:dyDescent="0.2">
      <c r="A250" s="8" t="s">
        <v>912</v>
      </c>
      <c r="O250">
        <v>1</v>
      </c>
    </row>
    <row r="251" spans="1:48" x14ac:dyDescent="0.2">
      <c r="A251" s="8" t="s">
        <v>633</v>
      </c>
      <c r="J251">
        <v>1</v>
      </c>
      <c r="U251">
        <v>1</v>
      </c>
      <c r="W251">
        <v>1</v>
      </c>
    </row>
    <row r="252" spans="1:48" x14ac:dyDescent="0.2">
      <c r="A252" s="8" t="s">
        <v>489</v>
      </c>
      <c r="B252" s="38">
        <v>1</v>
      </c>
      <c r="C252" s="38"/>
      <c r="D252" s="5">
        <v>1</v>
      </c>
      <c r="E252" s="5"/>
      <c r="F252" s="5"/>
      <c r="G252" s="5"/>
      <c r="H252" s="5"/>
      <c r="I252" s="5"/>
      <c r="J252" s="5"/>
      <c r="K252" s="5">
        <v>1</v>
      </c>
      <c r="L252" s="5"/>
      <c r="M252" s="5"/>
      <c r="N252" s="5"/>
      <c r="O252" s="5"/>
      <c r="P252" s="5"/>
      <c r="Q252" s="5"/>
      <c r="R252" s="5"/>
      <c r="AD252">
        <v>1</v>
      </c>
      <c r="AK252">
        <v>1</v>
      </c>
      <c r="AN252">
        <v>1</v>
      </c>
      <c r="AS252">
        <v>1</v>
      </c>
      <c r="AV252">
        <v>1</v>
      </c>
    </row>
    <row r="253" spans="1:48" x14ac:dyDescent="0.2">
      <c r="A253" s="8" t="s">
        <v>911</v>
      </c>
      <c r="O253">
        <v>1</v>
      </c>
    </row>
    <row r="254" spans="1:48" x14ac:dyDescent="0.2">
      <c r="A254" s="8" t="s">
        <v>798</v>
      </c>
      <c r="K254">
        <v>1</v>
      </c>
      <c r="AD254">
        <v>1</v>
      </c>
    </row>
    <row r="255" spans="1:48" x14ac:dyDescent="0.2">
      <c r="A255" s="8" t="s">
        <v>664</v>
      </c>
      <c r="E255" s="5"/>
      <c r="F255" s="5">
        <v>1</v>
      </c>
      <c r="Y255">
        <v>1</v>
      </c>
      <c r="AJ255">
        <v>1</v>
      </c>
    </row>
    <row r="256" spans="1:48" x14ac:dyDescent="0.2">
      <c r="A256" s="8" t="s">
        <v>916</v>
      </c>
      <c r="O256">
        <v>1</v>
      </c>
      <c r="Y256">
        <v>1</v>
      </c>
      <c r="AJ256">
        <v>1</v>
      </c>
      <c r="AQ256">
        <v>1</v>
      </c>
    </row>
    <row r="257" spans="1:44" x14ac:dyDescent="0.2">
      <c r="A257" s="8" t="s">
        <v>920</v>
      </c>
      <c r="O257">
        <v>1</v>
      </c>
    </row>
    <row r="258" spans="1:44" x14ac:dyDescent="0.2">
      <c r="A258" s="8" t="s">
        <v>805</v>
      </c>
      <c r="K258">
        <v>1</v>
      </c>
      <c r="AD258">
        <v>1</v>
      </c>
    </row>
    <row r="259" spans="1:44" x14ac:dyDescent="0.2">
      <c r="A259" s="8" t="s">
        <v>665</v>
      </c>
      <c r="E259" s="5"/>
      <c r="F259" s="5">
        <v>1</v>
      </c>
      <c r="U259">
        <v>1</v>
      </c>
      <c r="X259">
        <v>1</v>
      </c>
      <c r="AK259">
        <v>1</v>
      </c>
    </row>
    <row r="260" spans="1:44" x14ac:dyDescent="0.2">
      <c r="A260" s="8" t="s">
        <v>924</v>
      </c>
      <c r="O260">
        <v>1</v>
      </c>
    </row>
    <row r="261" spans="1:44" x14ac:dyDescent="0.2">
      <c r="A261" s="8" t="s">
        <v>1241</v>
      </c>
      <c r="AH261">
        <v>1</v>
      </c>
      <c r="AR261">
        <v>1</v>
      </c>
    </row>
  </sheetData>
  <autoFilter ref="A1:AV261" xr:uid="{103F94B5-1AA2-5440-A7D6-0267FED0CE87}">
    <sortState xmlns:xlrd2="http://schemas.microsoft.com/office/spreadsheetml/2017/richdata2" ref="A2:AV261">
      <sortCondition ref="A1:A261"/>
    </sortState>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7267-E58E-864D-8B29-A3438B234591}">
  <dimension ref="A1:X187"/>
  <sheetViews>
    <sheetView workbookViewId="0">
      <selection activeCell="P19" sqref="P19"/>
    </sheetView>
  </sheetViews>
  <sheetFormatPr baseColWidth="10" defaultRowHeight="16" x14ac:dyDescent="0.2"/>
  <sheetData>
    <row r="1" spans="1:24" ht="80" x14ac:dyDescent="0.2">
      <c r="A1" s="2" t="s">
        <v>5</v>
      </c>
      <c r="B1" s="2" t="s">
        <v>0</v>
      </c>
      <c r="C1" s="56" t="s">
        <v>1403</v>
      </c>
      <c r="D1" s="56" t="s">
        <v>1404</v>
      </c>
      <c r="E1" s="56" t="s">
        <v>1405</v>
      </c>
      <c r="F1" s="56" t="s">
        <v>1406</v>
      </c>
      <c r="G1" s="56" t="s">
        <v>1407</v>
      </c>
      <c r="H1" s="56" t="s">
        <v>1408</v>
      </c>
      <c r="I1" s="56" t="s">
        <v>1409</v>
      </c>
      <c r="J1" s="56" t="s">
        <v>1410</v>
      </c>
      <c r="K1" s="56" t="s">
        <v>1411</v>
      </c>
      <c r="L1" s="56" t="s">
        <v>1412</v>
      </c>
      <c r="M1" s="56" t="s">
        <v>1413</v>
      </c>
      <c r="N1" s="56" t="s">
        <v>1414</v>
      </c>
      <c r="O1" s="56" t="s">
        <v>1415</v>
      </c>
      <c r="P1" s="56" t="s">
        <v>1416</v>
      </c>
      <c r="Q1" s="56" t="s">
        <v>1417</v>
      </c>
      <c r="R1" s="56" t="s">
        <v>1418</v>
      </c>
      <c r="S1" s="56" t="s">
        <v>1419</v>
      </c>
      <c r="T1" s="56" t="s">
        <v>1420</v>
      </c>
      <c r="U1" s="56" t="s">
        <v>1421</v>
      </c>
      <c r="V1" s="56" t="s">
        <v>1422</v>
      </c>
      <c r="W1" s="56" t="s">
        <v>1423</v>
      </c>
      <c r="X1" s="56" t="s">
        <v>1424</v>
      </c>
    </row>
    <row r="2" spans="1:24" x14ac:dyDescent="0.2">
      <c r="A2" s="31" t="s">
        <v>268</v>
      </c>
      <c r="B2" s="31">
        <v>2004</v>
      </c>
      <c r="C2" t="s">
        <v>1425</v>
      </c>
      <c r="D2" t="s">
        <v>1425</v>
      </c>
      <c r="E2" t="s">
        <v>1425</v>
      </c>
      <c r="F2" t="s">
        <v>1426</v>
      </c>
      <c r="G2" t="s">
        <v>1426</v>
      </c>
      <c r="H2" t="s">
        <v>1427</v>
      </c>
      <c r="I2" t="s">
        <v>1427</v>
      </c>
      <c r="J2" t="s">
        <v>1425</v>
      </c>
      <c r="K2" t="s">
        <v>1425</v>
      </c>
      <c r="L2" t="s">
        <v>1425</v>
      </c>
      <c r="M2" t="s">
        <v>1425</v>
      </c>
      <c r="N2" t="s">
        <v>1425</v>
      </c>
      <c r="O2" t="s">
        <v>1425</v>
      </c>
      <c r="P2" t="s">
        <v>1425</v>
      </c>
      <c r="Q2" t="s">
        <v>1425</v>
      </c>
      <c r="R2" t="s">
        <v>1425</v>
      </c>
      <c r="S2" t="s">
        <v>1427</v>
      </c>
      <c r="T2" t="s">
        <v>1427</v>
      </c>
      <c r="U2" t="s">
        <v>1427</v>
      </c>
      <c r="V2" t="s">
        <v>1427</v>
      </c>
      <c r="W2" t="s">
        <v>1427</v>
      </c>
      <c r="X2" t="s">
        <v>1427</v>
      </c>
    </row>
    <row r="3" spans="1:24" x14ac:dyDescent="0.2">
      <c r="A3" s="15" t="s">
        <v>322</v>
      </c>
      <c r="B3" s="15">
        <v>2015</v>
      </c>
      <c r="C3" t="s">
        <v>1425</v>
      </c>
      <c r="D3" t="s">
        <v>1425</v>
      </c>
      <c r="E3" t="s">
        <v>1425</v>
      </c>
      <c r="F3" t="s">
        <v>1426</v>
      </c>
      <c r="G3" t="s">
        <v>1426</v>
      </c>
      <c r="H3" t="s">
        <v>1427</v>
      </c>
      <c r="I3" t="s">
        <v>1427</v>
      </c>
      <c r="J3" t="s">
        <v>1425</v>
      </c>
      <c r="K3" t="s">
        <v>1425</v>
      </c>
      <c r="L3" t="s">
        <v>1425</v>
      </c>
      <c r="M3" t="s">
        <v>1425</v>
      </c>
      <c r="N3" t="s">
        <v>1425</v>
      </c>
      <c r="O3" t="s">
        <v>1425</v>
      </c>
      <c r="P3" t="s">
        <v>1425</v>
      </c>
      <c r="Q3" t="s">
        <v>1425</v>
      </c>
      <c r="R3" t="s">
        <v>1425</v>
      </c>
      <c r="S3" t="s">
        <v>1427</v>
      </c>
      <c r="T3" t="s">
        <v>1427</v>
      </c>
      <c r="U3" t="s">
        <v>1427</v>
      </c>
      <c r="V3" t="s">
        <v>1425</v>
      </c>
      <c r="W3" t="s">
        <v>1425</v>
      </c>
      <c r="X3" t="s">
        <v>1425</v>
      </c>
    </row>
    <row r="4" spans="1:24" x14ac:dyDescent="0.2">
      <c r="A4" s="31" t="s">
        <v>302</v>
      </c>
      <c r="B4" s="31">
        <v>2022</v>
      </c>
      <c r="C4" t="s">
        <v>1425</v>
      </c>
      <c r="D4" t="s">
        <v>1427</v>
      </c>
      <c r="E4" t="s">
        <v>1425</v>
      </c>
      <c r="F4" t="s">
        <v>1426</v>
      </c>
      <c r="G4" t="s">
        <v>1426</v>
      </c>
      <c r="H4" t="s">
        <v>1427</v>
      </c>
      <c r="I4" t="s">
        <v>1427</v>
      </c>
      <c r="J4" t="s">
        <v>1427</v>
      </c>
      <c r="K4" t="s">
        <v>1425</v>
      </c>
      <c r="L4" t="s">
        <v>1425</v>
      </c>
      <c r="M4" t="s">
        <v>1425</v>
      </c>
      <c r="N4" t="s">
        <v>1425</v>
      </c>
      <c r="O4" t="s">
        <v>1425</v>
      </c>
      <c r="P4" t="s">
        <v>1425</v>
      </c>
      <c r="Q4" t="s">
        <v>1425</v>
      </c>
      <c r="R4" t="s">
        <v>1425</v>
      </c>
      <c r="S4" t="s">
        <v>1427</v>
      </c>
      <c r="T4" t="s">
        <v>1427</v>
      </c>
      <c r="U4" t="s">
        <v>1427</v>
      </c>
      <c r="V4" t="s">
        <v>1425</v>
      </c>
      <c r="W4" t="s">
        <v>1425</v>
      </c>
      <c r="X4" t="s">
        <v>1425</v>
      </c>
    </row>
    <row r="5" spans="1:24" x14ac:dyDescent="0.2">
      <c r="A5" s="31" t="s">
        <v>37</v>
      </c>
      <c r="B5" s="31">
        <v>2019</v>
      </c>
      <c r="C5" t="s">
        <v>1425</v>
      </c>
      <c r="D5" t="s">
        <v>1425</v>
      </c>
      <c r="E5" t="s">
        <v>1425</v>
      </c>
      <c r="F5" t="s">
        <v>1425</v>
      </c>
      <c r="G5" t="s">
        <v>1425</v>
      </c>
      <c r="H5" t="s">
        <v>1425</v>
      </c>
      <c r="I5" t="s">
        <v>1425</v>
      </c>
      <c r="J5" t="s">
        <v>1425</v>
      </c>
      <c r="K5" t="s">
        <v>1425</v>
      </c>
      <c r="L5" t="s">
        <v>1425</v>
      </c>
      <c r="M5" t="s">
        <v>1425</v>
      </c>
      <c r="N5" t="s">
        <v>1425</v>
      </c>
      <c r="O5" t="s">
        <v>1425</v>
      </c>
      <c r="P5" t="s">
        <v>1425</v>
      </c>
      <c r="Q5" t="s">
        <v>1425</v>
      </c>
      <c r="R5" t="s">
        <v>1425</v>
      </c>
      <c r="S5" t="s">
        <v>1425</v>
      </c>
      <c r="T5" t="s">
        <v>1425</v>
      </c>
      <c r="U5" t="s">
        <v>1425</v>
      </c>
      <c r="V5" t="s">
        <v>1425</v>
      </c>
      <c r="W5" t="s">
        <v>1425</v>
      </c>
      <c r="X5" t="s">
        <v>1425</v>
      </c>
    </row>
    <row r="6" spans="1:24" x14ac:dyDescent="0.2">
      <c r="A6" s="31" t="s">
        <v>80</v>
      </c>
      <c r="B6" s="31">
        <v>1991</v>
      </c>
      <c r="C6" t="s">
        <v>1427</v>
      </c>
      <c r="D6" t="s">
        <v>1427</v>
      </c>
      <c r="E6" t="s">
        <v>1427</v>
      </c>
      <c r="F6" t="s">
        <v>1425</v>
      </c>
      <c r="G6" t="s">
        <v>1425</v>
      </c>
      <c r="H6" t="s">
        <v>1425</v>
      </c>
      <c r="I6" t="s">
        <v>1425</v>
      </c>
      <c r="J6" t="s">
        <v>1425</v>
      </c>
      <c r="K6" t="s">
        <v>1426</v>
      </c>
      <c r="L6" t="s">
        <v>1426</v>
      </c>
      <c r="M6" t="s">
        <v>1426</v>
      </c>
      <c r="N6" t="s">
        <v>1426</v>
      </c>
      <c r="O6" t="s">
        <v>1426</v>
      </c>
      <c r="P6" t="s">
        <v>1426</v>
      </c>
      <c r="Q6" t="s">
        <v>1425</v>
      </c>
      <c r="R6" t="s">
        <v>1425</v>
      </c>
      <c r="S6" t="s">
        <v>1425</v>
      </c>
      <c r="T6" t="s">
        <v>1425</v>
      </c>
      <c r="U6" t="s">
        <v>1425</v>
      </c>
      <c r="V6" t="s">
        <v>1427</v>
      </c>
      <c r="W6" t="s">
        <v>1427</v>
      </c>
      <c r="X6" t="s">
        <v>1427</v>
      </c>
    </row>
    <row r="7" spans="1:24" x14ac:dyDescent="0.2">
      <c r="A7" s="31" t="s">
        <v>147</v>
      </c>
      <c r="B7" s="31">
        <v>2006</v>
      </c>
      <c r="C7" t="s">
        <v>1425</v>
      </c>
      <c r="D7" t="s">
        <v>1427</v>
      </c>
      <c r="E7" t="s">
        <v>1425</v>
      </c>
      <c r="F7" t="s">
        <v>1425</v>
      </c>
      <c r="G7" t="s">
        <v>1425</v>
      </c>
      <c r="H7" t="s">
        <v>1425</v>
      </c>
      <c r="I7" t="s">
        <v>1425</v>
      </c>
      <c r="J7" t="s">
        <v>1425</v>
      </c>
      <c r="K7" t="s">
        <v>1425</v>
      </c>
      <c r="L7" t="s">
        <v>1425</v>
      </c>
      <c r="M7" t="s">
        <v>1425</v>
      </c>
      <c r="N7" t="s">
        <v>1425</v>
      </c>
      <c r="O7" t="s">
        <v>1425</v>
      </c>
      <c r="P7" t="s">
        <v>1425</v>
      </c>
      <c r="Q7" t="s">
        <v>1425</v>
      </c>
      <c r="R7" t="s">
        <v>1425</v>
      </c>
      <c r="S7" t="s">
        <v>1425</v>
      </c>
      <c r="T7" t="s">
        <v>1425</v>
      </c>
      <c r="U7" t="s">
        <v>1425</v>
      </c>
      <c r="V7" t="s">
        <v>1427</v>
      </c>
      <c r="W7" t="s">
        <v>1427</v>
      </c>
      <c r="X7" t="s">
        <v>1427</v>
      </c>
    </row>
    <row r="8" spans="1:24" x14ac:dyDescent="0.2">
      <c r="A8" s="31" t="s">
        <v>257</v>
      </c>
      <c r="B8" s="31">
        <v>2008</v>
      </c>
      <c r="C8" t="s">
        <v>1425</v>
      </c>
      <c r="D8" t="s">
        <v>1425</v>
      </c>
      <c r="E8" t="s">
        <v>1425</v>
      </c>
      <c r="F8" t="s">
        <v>1426</v>
      </c>
      <c r="G8" t="s">
        <v>1426</v>
      </c>
      <c r="H8" t="s">
        <v>1427</v>
      </c>
      <c r="I8" t="s">
        <v>1427</v>
      </c>
      <c r="J8" t="s">
        <v>1425</v>
      </c>
      <c r="K8" t="s">
        <v>1425</v>
      </c>
      <c r="L8" t="s">
        <v>1425</v>
      </c>
      <c r="M8" t="s">
        <v>1425</v>
      </c>
      <c r="N8" t="s">
        <v>1425</v>
      </c>
      <c r="O8" t="s">
        <v>1425</v>
      </c>
      <c r="P8" t="s">
        <v>1425</v>
      </c>
      <c r="Q8" t="s">
        <v>1425</v>
      </c>
      <c r="R8" t="s">
        <v>1425</v>
      </c>
      <c r="S8" t="s">
        <v>1427</v>
      </c>
      <c r="T8" t="s">
        <v>1427</v>
      </c>
      <c r="U8" t="s">
        <v>1427</v>
      </c>
      <c r="V8" t="s">
        <v>1425</v>
      </c>
      <c r="W8" t="s">
        <v>1425</v>
      </c>
      <c r="X8" t="s">
        <v>1425</v>
      </c>
    </row>
    <row r="9" spans="1:24" x14ac:dyDescent="0.2">
      <c r="A9" s="31" t="s">
        <v>205</v>
      </c>
      <c r="B9" s="31">
        <v>1998</v>
      </c>
      <c r="C9" t="s">
        <v>1427</v>
      </c>
      <c r="D9" t="s">
        <v>1427</v>
      </c>
      <c r="E9" t="s">
        <v>1425</v>
      </c>
      <c r="F9" t="s">
        <v>1425</v>
      </c>
      <c r="G9" t="s">
        <v>1425</v>
      </c>
      <c r="H9" t="s">
        <v>1425</v>
      </c>
      <c r="I9" t="s">
        <v>1425</v>
      </c>
      <c r="J9" t="s">
        <v>1425</v>
      </c>
      <c r="K9" t="s">
        <v>1427</v>
      </c>
      <c r="L9" t="s">
        <v>1427</v>
      </c>
      <c r="M9" t="s">
        <v>1426</v>
      </c>
      <c r="N9" t="s">
        <v>1426</v>
      </c>
      <c r="O9" t="s">
        <v>1426</v>
      </c>
      <c r="P9" t="s">
        <v>1426</v>
      </c>
      <c r="Q9" t="s">
        <v>1425</v>
      </c>
      <c r="R9" t="s">
        <v>1425</v>
      </c>
      <c r="S9" t="s">
        <v>1425</v>
      </c>
      <c r="T9" t="s">
        <v>1425</v>
      </c>
      <c r="U9" t="s">
        <v>1425</v>
      </c>
      <c r="V9" t="s">
        <v>1427</v>
      </c>
      <c r="W9" t="s">
        <v>1427</v>
      </c>
      <c r="X9" t="s">
        <v>1427</v>
      </c>
    </row>
    <row r="10" spans="1:24" x14ac:dyDescent="0.2">
      <c r="A10" s="15" t="s">
        <v>244</v>
      </c>
      <c r="B10" s="15">
        <v>2008</v>
      </c>
      <c r="C10" t="s">
        <v>1427</v>
      </c>
      <c r="D10" t="s">
        <v>1427</v>
      </c>
      <c r="E10" t="s">
        <v>1425</v>
      </c>
      <c r="F10" t="s">
        <v>1427</v>
      </c>
      <c r="G10" t="s">
        <v>1427</v>
      </c>
      <c r="H10" t="s">
        <v>1427</v>
      </c>
      <c r="I10" t="s">
        <v>1427</v>
      </c>
      <c r="J10" t="s">
        <v>1427</v>
      </c>
      <c r="K10" t="s">
        <v>1425</v>
      </c>
      <c r="L10" t="s">
        <v>1425</v>
      </c>
      <c r="M10" t="s">
        <v>1425</v>
      </c>
      <c r="N10" t="s">
        <v>1425</v>
      </c>
      <c r="O10" t="s">
        <v>1425</v>
      </c>
      <c r="P10" t="s">
        <v>1425</v>
      </c>
      <c r="Q10" t="s">
        <v>1425</v>
      </c>
      <c r="R10" t="s">
        <v>1425</v>
      </c>
      <c r="S10" t="s">
        <v>1427</v>
      </c>
      <c r="T10" t="s">
        <v>1427</v>
      </c>
      <c r="U10" t="s">
        <v>1427</v>
      </c>
      <c r="V10" t="s">
        <v>1427</v>
      </c>
      <c r="W10" t="s">
        <v>1427</v>
      </c>
      <c r="X10" t="s">
        <v>1427</v>
      </c>
    </row>
    <row r="11" spans="1:24" x14ac:dyDescent="0.2">
      <c r="A11" s="31" t="s">
        <v>1428</v>
      </c>
      <c r="B11" s="31">
        <v>2008</v>
      </c>
      <c r="C11" t="s">
        <v>1427</v>
      </c>
      <c r="D11" t="s">
        <v>1425</v>
      </c>
      <c r="E11" t="s">
        <v>1425</v>
      </c>
      <c r="F11" t="s">
        <v>1425</v>
      </c>
      <c r="G11" t="s">
        <v>1425</v>
      </c>
      <c r="H11" t="s">
        <v>1425</v>
      </c>
      <c r="I11" t="s">
        <v>1425</v>
      </c>
      <c r="J11" t="s">
        <v>1425</v>
      </c>
      <c r="K11" t="s">
        <v>1425</v>
      </c>
      <c r="L11" t="s">
        <v>1425</v>
      </c>
      <c r="M11" t="s">
        <v>1425</v>
      </c>
      <c r="N11" t="s">
        <v>1425</v>
      </c>
      <c r="O11" t="s">
        <v>1425</v>
      </c>
      <c r="P11" t="s">
        <v>1425</v>
      </c>
      <c r="Q11" t="s">
        <v>1425</v>
      </c>
      <c r="R11" t="s">
        <v>1425</v>
      </c>
      <c r="S11" t="s">
        <v>1425</v>
      </c>
      <c r="T11" t="s">
        <v>1425</v>
      </c>
      <c r="U11" t="s">
        <v>1425</v>
      </c>
      <c r="V11" t="s">
        <v>1425</v>
      </c>
      <c r="W11" t="s">
        <v>1425</v>
      </c>
      <c r="X11" t="s">
        <v>1425</v>
      </c>
    </row>
    <row r="12" spans="1:24" x14ac:dyDescent="0.2">
      <c r="A12" s="31" t="s">
        <v>261</v>
      </c>
      <c r="B12" s="31">
        <v>2006</v>
      </c>
      <c r="C12" t="s">
        <v>1427</v>
      </c>
      <c r="D12" t="s">
        <v>1427</v>
      </c>
      <c r="E12" t="s">
        <v>1425</v>
      </c>
      <c r="F12" t="s">
        <v>1427</v>
      </c>
      <c r="G12" t="s">
        <v>1427</v>
      </c>
      <c r="H12" t="s">
        <v>1427</v>
      </c>
      <c r="I12" t="s">
        <v>1427</v>
      </c>
      <c r="J12" t="s">
        <v>1427</v>
      </c>
      <c r="K12" t="s">
        <v>1425</v>
      </c>
      <c r="L12" t="s">
        <v>1425</v>
      </c>
      <c r="M12" t="s">
        <v>1427</v>
      </c>
      <c r="N12" t="s">
        <v>1427</v>
      </c>
      <c r="O12" t="s">
        <v>1427</v>
      </c>
      <c r="P12" t="s">
        <v>1427</v>
      </c>
      <c r="Q12" t="s">
        <v>1425</v>
      </c>
      <c r="R12" t="s">
        <v>1425</v>
      </c>
      <c r="S12" t="s">
        <v>1427</v>
      </c>
      <c r="T12" t="s">
        <v>1427</v>
      </c>
      <c r="U12" t="s">
        <v>1427</v>
      </c>
      <c r="V12" t="s">
        <v>1427</v>
      </c>
      <c r="W12" t="s">
        <v>1427</v>
      </c>
      <c r="X12" t="s">
        <v>1427</v>
      </c>
    </row>
    <row r="13" spans="1:24" x14ac:dyDescent="0.2">
      <c r="A13" s="15" t="s">
        <v>148</v>
      </c>
      <c r="B13" s="15">
        <v>2009</v>
      </c>
      <c r="C13" t="s">
        <v>1427</v>
      </c>
      <c r="D13" t="s">
        <v>1427</v>
      </c>
      <c r="E13" t="s">
        <v>1425</v>
      </c>
      <c r="F13" t="s">
        <v>1425</v>
      </c>
      <c r="G13" t="s">
        <v>1425</v>
      </c>
      <c r="H13" t="s">
        <v>1425</v>
      </c>
      <c r="I13" t="s">
        <v>1425</v>
      </c>
      <c r="J13" t="s">
        <v>1425</v>
      </c>
      <c r="K13" t="s">
        <v>1425</v>
      </c>
      <c r="L13" t="s">
        <v>1425</v>
      </c>
      <c r="M13" t="s">
        <v>1425</v>
      </c>
      <c r="N13" t="s">
        <v>1425</v>
      </c>
      <c r="O13" t="s">
        <v>1425</v>
      </c>
      <c r="P13" t="s">
        <v>1425</v>
      </c>
      <c r="Q13" t="s">
        <v>1425</v>
      </c>
      <c r="R13" t="s">
        <v>1425</v>
      </c>
      <c r="S13" t="s">
        <v>1425</v>
      </c>
      <c r="T13" t="s">
        <v>1425</v>
      </c>
      <c r="U13" t="s">
        <v>1425</v>
      </c>
      <c r="V13" t="s">
        <v>1425</v>
      </c>
      <c r="W13" t="s">
        <v>1425</v>
      </c>
      <c r="X13" t="s">
        <v>1425</v>
      </c>
    </row>
    <row r="14" spans="1:24" x14ac:dyDescent="0.2">
      <c r="A14" s="31" t="s">
        <v>193</v>
      </c>
      <c r="B14" s="31">
        <v>2011</v>
      </c>
      <c r="C14" t="s">
        <v>1425</v>
      </c>
      <c r="D14" t="s">
        <v>1427</v>
      </c>
      <c r="E14" t="s">
        <v>1425</v>
      </c>
      <c r="F14" t="s">
        <v>1427</v>
      </c>
      <c r="G14" t="s">
        <v>1427</v>
      </c>
      <c r="H14" t="s">
        <v>1427</v>
      </c>
      <c r="I14" t="s">
        <v>1427</v>
      </c>
      <c r="J14" t="s">
        <v>1425</v>
      </c>
      <c r="K14" t="s">
        <v>1427</v>
      </c>
      <c r="L14" t="s">
        <v>1427</v>
      </c>
      <c r="M14" t="s">
        <v>1425</v>
      </c>
      <c r="N14" t="s">
        <v>1425</v>
      </c>
      <c r="O14" t="s">
        <v>1425</v>
      </c>
      <c r="P14" t="s">
        <v>1425</v>
      </c>
      <c r="Q14" t="s">
        <v>1425</v>
      </c>
      <c r="R14" t="s">
        <v>1425</v>
      </c>
      <c r="S14" t="s">
        <v>1427</v>
      </c>
      <c r="T14" t="s">
        <v>1427</v>
      </c>
      <c r="U14" t="s">
        <v>1427</v>
      </c>
      <c r="V14" t="s">
        <v>1427</v>
      </c>
      <c r="W14" t="s">
        <v>1427</v>
      </c>
      <c r="X14" t="s">
        <v>1427</v>
      </c>
    </row>
    <row r="15" spans="1:24" x14ac:dyDescent="0.2">
      <c r="A15" s="31" t="s">
        <v>114</v>
      </c>
      <c r="B15" s="31">
        <v>2016</v>
      </c>
      <c r="C15" t="s">
        <v>1425</v>
      </c>
      <c r="D15" t="s">
        <v>1427</v>
      </c>
      <c r="E15" t="s">
        <v>1425</v>
      </c>
      <c r="F15" t="s">
        <v>1425</v>
      </c>
      <c r="G15" t="s">
        <v>1425</v>
      </c>
      <c r="H15" t="s">
        <v>1425</v>
      </c>
      <c r="I15" t="s">
        <v>1425</v>
      </c>
      <c r="J15" t="s">
        <v>1427</v>
      </c>
      <c r="K15" t="s">
        <v>1425</v>
      </c>
      <c r="L15" t="s">
        <v>1425</v>
      </c>
      <c r="M15" t="s">
        <v>1425</v>
      </c>
      <c r="N15" t="s">
        <v>1425</v>
      </c>
      <c r="O15" t="s">
        <v>1425</v>
      </c>
      <c r="P15" t="s">
        <v>1425</v>
      </c>
      <c r="Q15" t="s">
        <v>1425</v>
      </c>
      <c r="R15" t="s">
        <v>1425</v>
      </c>
      <c r="S15" t="s">
        <v>1425</v>
      </c>
      <c r="T15" t="s">
        <v>1425</v>
      </c>
      <c r="U15" t="s">
        <v>1425</v>
      </c>
      <c r="V15" t="s">
        <v>1425</v>
      </c>
      <c r="W15" t="s">
        <v>1425</v>
      </c>
      <c r="X15" t="s">
        <v>1425</v>
      </c>
    </row>
    <row r="16" spans="1:24" x14ac:dyDescent="0.2">
      <c r="A16" s="15" t="s">
        <v>857</v>
      </c>
      <c r="B16" s="15">
        <v>1988</v>
      </c>
      <c r="C16" t="s">
        <v>1427</v>
      </c>
      <c r="D16" t="s">
        <v>1427</v>
      </c>
      <c r="E16" t="s">
        <v>1427</v>
      </c>
      <c r="F16" t="s">
        <v>1425</v>
      </c>
      <c r="G16" t="s">
        <v>1425</v>
      </c>
      <c r="H16" t="s">
        <v>1425</v>
      </c>
      <c r="I16" t="s">
        <v>1425</v>
      </c>
      <c r="J16" t="s">
        <v>1427</v>
      </c>
      <c r="K16" t="s">
        <v>1427</v>
      </c>
      <c r="L16" t="s">
        <v>1427</v>
      </c>
      <c r="M16" t="s">
        <v>1427</v>
      </c>
      <c r="N16" t="s">
        <v>1427</v>
      </c>
      <c r="O16" t="s">
        <v>1427</v>
      </c>
      <c r="P16" t="s">
        <v>1427</v>
      </c>
      <c r="Q16" t="s">
        <v>1425</v>
      </c>
      <c r="R16" t="s">
        <v>1425</v>
      </c>
      <c r="S16" t="s">
        <v>1425</v>
      </c>
      <c r="T16" t="s">
        <v>1425</v>
      </c>
      <c r="U16" t="s">
        <v>1425</v>
      </c>
      <c r="V16" t="s">
        <v>1427</v>
      </c>
      <c r="W16" t="s">
        <v>1427</v>
      </c>
      <c r="X16" t="s">
        <v>1427</v>
      </c>
    </row>
    <row r="17" spans="1:24" x14ac:dyDescent="0.2">
      <c r="A17" s="31" t="s">
        <v>1130</v>
      </c>
      <c r="B17" s="31">
        <v>2016</v>
      </c>
      <c r="C17" t="s">
        <v>1425</v>
      </c>
      <c r="D17" t="s">
        <v>1427</v>
      </c>
      <c r="E17" t="s">
        <v>1425</v>
      </c>
      <c r="F17" t="s">
        <v>1425</v>
      </c>
      <c r="G17" t="s">
        <v>1425</v>
      </c>
      <c r="H17" t="s">
        <v>1425</v>
      </c>
      <c r="I17" t="s">
        <v>1425</v>
      </c>
      <c r="J17" t="s">
        <v>1425</v>
      </c>
      <c r="K17" t="s">
        <v>1425</v>
      </c>
      <c r="L17" t="s">
        <v>1425</v>
      </c>
      <c r="M17" t="s">
        <v>1425</v>
      </c>
      <c r="N17" t="s">
        <v>1425</v>
      </c>
      <c r="O17" t="s">
        <v>1425</v>
      </c>
      <c r="P17" t="s">
        <v>1425</v>
      </c>
      <c r="Q17" t="s">
        <v>1425</v>
      </c>
      <c r="R17" t="s">
        <v>1425</v>
      </c>
      <c r="S17" t="s">
        <v>1425</v>
      </c>
      <c r="T17" t="s">
        <v>1425</v>
      </c>
      <c r="U17" t="s">
        <v>1425</v>
      </c>
      <c r="V17" t="s">
        <v>1425</v>
      </c>
      <c r="W17" t="s">
        <v>1425</v>
      </c>
      <c r="X17" t="s">
        <v>1425</v>
      </c>
    </row>
    <row r="18" spans="1:24" x14ac:dyDescent="0.2">
      <c r="A18" s="31" t="s">
        <v>62</v>
      </c>
      <c r="B18" s="31">
        <v>1995</v>
      </c>
      <c r="C18" t="s">
        <v>1427</v>
      </c>
      <c r="D18" t="s">
        <v>1427</v>
      </c>
      <c r="E18" t="s">
        <v>1427</v>
      </c>
      <c r="F18" t="s">
        <v>1427</v>
      </c>
      <c r="G18" t="s">
        <v>1427</v>
      </c>
      <c r="H18" t="s">
        <v>1427</v>
      </c>
      <c r="I18" t="s">
        <v>1427</v>
      </c>
      <c r="J18" t="s">
        <v>1427</v>
      </c>
      <c r="K18" t="s">
        <v>1427</v>
      </c>
      <c r="L18" t="s">
        <v>1427</v>
      </c>
      <c r="M18" t="s">
        <v>1427</v>
      </c>
      <c r="N18" t="s">
        <v>1427</v>
      </c>
      <c r="O18" t="s">
        <v>1427</v>
      </c>
      <c r="P18" t="s">
        <v>1427</v>
      </c>
      <c r="Q18" t="s">
        <v>1425</v>
      </c>
      <c r="R18" t="s">
        <v>1425</v>
      </c>
      <c r="S18" t="s">
        <v>1427</v>
      </c>
      <c r="T18" t="s">
        <v>1427</v>
      </c>
      <c r="U18" t="s">
        <v>1427</v>
      </c>
      <c r="V18" t="s">
        <v>1427</v>
      </c>
      <c r="W18" t="s">
        <v>1427</v>
      </c>
      <c r="X18" t="s">
        <v>1427</v>
      </c>
    </row>
    <row r="19" spans="1:24" x14ac:dyDescent="0.2">
      <c r="A19" s="15" t="s">
        <v>117</v>
      </c>
      <c r="B19" s="15">
        <v>2003</v>
      </c>
      <c r="C19" t="s">
        <v>1425</v>
      </c>
      <c r="D19" t="s">
        <v>1427</v>
      </c>
      <c r="E19" t="s">
        <v>1425</v>
      </c>
      <c r="F19" t="s">
        <v>1427</v>
      </c>
      <c r="G19" t="s">
        <v>1427</v>
      </c>
      <c r="H19" t="s">
        <v>1427</v>
      </c>
      <c r="I19" t="s">
        <v>1427</v>
      </c>
      <c r="J19" t="s">
        <v>1425</v>
      </c>
      <c r="K19" t="s">
        <v>1427</v>
      </c>
      <c r="L19" t="s">
        <v>1427</v>
      </c>
      <c r="M19" t="s">
        <v>1425</v>
      </c>
      <c r="N19" t="s">
        <v>1425</v>
      </c>
      <c r="O19" t="s">
        <v>1425</v>
      </c>
      <c r="P19" t="s">
        <v>1425</v>
      </c>
      <c r="Q19" t="s">
        <v>1425</v>
      </c>
      <c r="R19" t="s">
        <v>1425</v>
      </c>
      <c r="S19" t="s">
        <v>1427</v>
      </c>
      <c r="T19" t="s">
        <v>1427</v>
      </c>
      <c r="U19" t="s">
        <v>1427</v>
      </c>
      <c r="V19" t="s">
        <v>1427</v>
      </c>
      <c r="W19" t="s">
        <v>1427</v>
      </c>
      <c r="X19" t="s">
        <v>1427</v>
      </c>
    </row>
    <row r="20" spans="1:24" x14ac:dyDescent="0.2">
      <c r="A20" s="31" t="s">
        <v>276</v>
      </c>
      <c r="B20" s="31">
        <v>2007</v>
      </c>
      <c r="C20" t="s">
        <v>1427</v>
      </c>
      <c r="D20" t="s">
        <v>1427</v>
      </c>
      <c r="E20" t="s">
        <v>1425</v>
      </c>
      <c r="F20" t="s">
        <v>1426</v>
      </c>
      <c r="G20" t="s">
        <v>1426</v>
      </c>
      <c r="H20" t="s">
        <v>1427</v>
      </c>
      <c r="I20" t="s">
        <v>1427</v>
      </c>
      <c r="J20" t="s">
        <v>1427</v>
      </c>
      <c r="K20" t="s">
        <v>1427</v>
      </c>
      <c r="L20" t="s">
        <v>1427</v>
      </c>
      <c r="M20" t="s">
        <v>1425</v>
      </c>
      <c r="N20" t="s">
        <v>1425</v>
      </c>
      <c r="O20" t="s">
        <v>1425</v>
      </c>
      <c r="P20" t="s">
        <v>1425</v>
      </c>
      <c r="Q20" t="s">
        <v>1425</v>
      </c>
      <c r="R20" t="s">
        <v>1425</v>
      </c>
      <c r="S20" t="s">
        <v>1426</v>
      </c>
      <c r="T20" t="s">
        <v>1427</v>
      </c>
      <c r="U20" t="s">
        <v>1427</v>
      </c>
      <c r="V20" t="s">
        <v>1427</v>
      </c>
      <c r="W20" t="s">
        <v>1427</v>
      </c>
      <c r="X20" t="s">
        <v>1427</v>
      </c>
    </row>
    <row r="21" spans="1:24" x14ac:dyDescent="0.2">
      <c r="A21" s="31" t="s">
        <v>1129</v>
      </c>
      <c r="B21" s="31">
        <v>2016</v>
      </c>
      <c r="C21" t="s">
        <v>1427</v>
      </c>
      <c r="D21" t="s">
        <v>1427</v>
      </c>
      <c r="E21" t="s">
        <v>1425</v>
      </c>
      <c r="F21" t="s">
        <v>1425</v>
      </c>
      <c r="G21" t="s">
        <v>1425</v>
      </c>
      <c r="H21" t="s">
        <v>1425</v>
      </c>
      <c r="I21" t="s">
        <v>1425</v>
      </c>
      <c r="J21" t="s">
        <v>1427</v>
      </c>
      <c r="K21" t="s">
        <v>1427</v>
      </c>
      <c r="L21" t="s">
        <v>1427</v>
      </c>
      <c r="M21" t="s">
        <v>1425</v>
      </c>
      <c r="N21" t="s">
        <v>1425</v>
      </c>
      <c r="O21" t="s">
        <v>1425</v>
      </c>
      <c r="P21" t="s">
        <v>1425</v>
      </c>
      <c r="Q21" t="s">
        <v>1425</v>
      </c>
      <c r="R21" t="s">
        <v>1425</v>
      </c>
      <c r="S21" t="s">
        <v>1425</v>
      </c>
      <c r="T21" t="s">
        <v>1425</v>
      </c>
      <c r="U21" t="s">
        <v>1425</v>
      </c>
      <c r="V21" t="s">
        <v>1425</v>
      </c>
      <c r="W21" t="s">
        <v>1425</v>
      </c>
      <c r="X21" t="s">
        <v>1425</v>
      </c>
    </row>
    <row r="22" spans="1:24" x14ac:dyDescent="0.2">
      <c r="A22" s="31" t="s">
        <v>204</v>
      </c>
      <c r="B22" s="31">
        <v>1992</v>
      </c>
      <c r="C22" t="s">
        <v>1427</v>
      </c>
      <c r="D22" t="s">
        <v>1427</v>
      </c>
      <c r="E22" t="s">
        <v>1427</v>
      </c>
      <c r="F22" t="s">
        <v>1425</v>
      </c>
      <c r="G22" t="s">
        <v>1425</v>
      </c>
      <c r="H22" t="s">
        <v>1425</v>
      </c>
      <c r="I22" t="s">
        <v>1425</v>
      </c>
      <c r="J22" t="s">
        <v>1427</v>
      </c>
      <c r="K22" t="s">
        <v>1427</v>
      </c>
      <c r="L22" t="s">
        <v>1427</v>
      </c>
      <c r="M22" t="s">
        <v>1427</v>
      </c>
      <c r="N22" t="s">
        <v>1427</v>
      </c>
      <c r="O22" t="s">
        <v>1427</v>
      </c>
      <c r="P22" t="s">
        <v>1427</v>
      </c>
      <c r="Q22" t="s">
        <v>1425</v>
      </c>
      <c r="R22" t="s">
        <v>1425</v>
      </c>
      <c r="S22" t="s">
        <v>1425</v>
      </c>
      <c r="T22" t="s">
        <v>1425</v>
      </c>
      <c r="U22" t="s">
        <v>1425</v>
      </c>
      <c r="V22" t="s">
        <v>1427</v>
      </c>
      <c r="W22" t="s">
        <v>1427</v>
      </c>
      <c r="X22" t="s">
        <v>1427</v>
      </c>
    </row>
    <row r="23" spans="1:24" x14ac:dyDescent="0.2">
      <c r="A23" s="31" t="s">
        <v>204</v>
      </c>
      <c r="B23" s="31">
        <v>1999</v>
      </c>
      <c r="C23" t="s">
        <v>1427</v>
      </c>
      <c r="D23" t="s">
        <v>1427</v>
      </c>
      <c r="E23" t="s">
        <v>1425</v>
      </c>
      <c r="F23" t="s">
        <v>1425</v>
      </c>
      <c r="G23" t="s">
        <v>1425</v>
      </c>
      <c r="H23" t="s">
        <v>1425</v>
      </c>
      <c r="I23" t="s">
        <v>1425</v>
      </c>
      <c r="J23" t="s">
        <v>1427</v>
      </c>
      <c r="K23" t="s">
        <v>1425</v>
      </c>
      <c r="L23" t="s">
        <v>1425</v>
      </c>
      <c r="M23" t="s">
        <v>1425</v>
      </c>
      <c r="N23" t="s">
        <v>1425</v>
      </c>
      <c r="O23" t="s">
        <v>1425</v>
      </c>
      <c r="P23" t="s">
        <v>1425</v>
      </c>
      <c r="Q23" t="s">
        <v>1425</v>
      </c>
      <c r="R23" t="s">
        <v>1425</v>
      </c>
      <c r="S23" t="s">
        <v>1425</v>
      </c>
      <c r="T23" t="s">
        <v>1425</v>
      </c>
      <c r="U23" t="s">
        <v>1425</v>
      </c>
      <c r="V23" t="s">
        <v>1427</v>
      </c>
      <c r="W23" t="s">
        <v>1427</v>
      </c>
      <c r="X23" t="s">
        <v>1427</v>
      </c>
    </row>
    <row r="24" spans="1:24" x14ac:dyDescent="0.2">
      <c r="A24" s="15" t="s">
        <v>1345</v>
      </c>
      <c r="B24" s="15">
        <v>2005</v>
      </c>
      <c r="C24" t="s">
        <v>1427</v>
      </c>
      <c r="D24" t="s">
        <v>1427</v>
      </c>
      <c r="E24" t="s">
        <v>1425</v>
      </c>
      <c r="F24" t="s">
        <v>1427</v>
      </c>
      <c r="G24" t="s">
        <v>1427</v>
      </c>
      <c r="H24" t="s">
        <v>1427</v>
      </c>
      <c r="I24" t="s">
        <v>1427</v>
      </c>
      <c r="J24" t="s">
        <v>1427</v>
      </c>
      <c r="K24" t="s">
        <v>1425</v>
      </c>
      <c r="L24" t="s">
        <v>1425</v>
      </c>
      <c r="M24" t="s">
        <v>1425</v>
      </c>
      <c r="N24" t="s">
        <v>1425</v>
      </c>
      <c r="O24" t="s">
        <v>1425</v>
      </c>
      <c r="P24" t="s">
        <v>1425</v>
      </c>
      <c r="Q24" t="s">
        <v>1425</v>
      </c>
      <c r="R24" t="s">
        <v>1425</v>
      </c>
      <c r="S24" t="s">
        <v>1427</v>
      </c>
      <c r="T24" t="s">
        <v>1427</v>
      </c>
      <c r="U24" t="s">
        <v>1427</v>
      </c>
      <c r="V24" t="s">
        <v>1427</v>
      </c>
      <c r="W24" t="s">
        <v>1427</v>
      </c>
      <c r="X24" t="s">
        <v>1427</v>
      </c>
    </row>
    <row r="25" spans="1:24" x14ac:dyDescent="0.2">
      <c r="A25" s="15" t="s">
        <v>968</v>
      </c>
      <c r="B25" s="15">
        <v>1991</v>
      </c>
      <c r="C25" t="s">
        <v>1427</v>
      </c>
      <c r="D25" t="s">
        <v>1427</v>
      </c>
      <c r="E25" t="s">
        <v>1427</v>
      </c>
      <c r="F25" t="s">
        <v>1425</v>
      </c>
      <c r="G25" t="s">
        <v>1425</v>
      </c>
      <c r="H25" t="s">
        <v>1425</v>
      </c>
      <c r="I25" t="s">
        <v>1425</v>
      </c>
      <c r="J25" t="s">
        <v>1427</v>
      </c>
      <c r="K25" t="s">
        <v>1427</v>
      </c>
      <c r="L25" t="s">
        <v>1427</v>
      </c>
      <c r="M25" t="s">
        <v>1427</v>
      </c>
      <c r="N25" t="s">
        <v>1427</v>
      </c>
      <c r="O25" t="s">
        <v>1427</v>
      </c>
      <c r="P25" t="s">
        <v>1427</v>
      </c>
      <c r="Q25" t="s">
        <v>1425</v>
      </c>
      <c r="R25" t="s">
        <v>1425</v>
      </c>
      <c r="S25" t="s">
        <v>1425</v>
      </c>
      <c r="T25" t="s">
        <v>1425</v>
      </c>
      <c r="U25" t="s">
        <v>1425</v>
      </c>
      <c r="V25" t="s">
        <v>1427</v>
      </c>
      <c r="W25" t="s">
        <v>1427</v>
      </c>
      <c r="X25" t="s">
        <v>1427</v>
      </c>
    </row>
    <row r="26" spans="1:24" x14ac:dyDescent="0.2">
      <c r="A26" s="15" t="s">
        <v>252</v>
      </c>
      <c r="B26" s="15">
        <v>2002</v>
      </c>
      <c r="C26" t="s">
        <v>1427</v>
      </c>
      <c r="D26" t="s">
        <v>1427</v>
      </c>
      <c r="E26" t="s">
        <v>1427</v>
      </c>
      <c r="F26" t="s">
        <v>1425</v>
      </c>
      <c r="G26" t="s">
        <v>1425</v>
      </c>
      <c r="H26" t="s">
        <v>1425</v>
      </c>
      <c r="I26" t="s">
        <v>1425</v>
      </c>
      <c r="J26" t="s">
        <v>1425</v>
      </c>
      <c r="K26" t="s">
        <v>1425</v>
      </c>
      <c r="L26" t="s">
        <v>1425</v>
      </c>
      <c r="M26" t="s">
        <v>1427</v>
      </c>
      <c r="N26" t="s">
        <v>1427</v>
      </c>
      <c r="O26" t="s">
        <v>1427</v>
      </c>
      <c r="P26" t="s">
        <v>1427</v>
      </c>
      <c r="Q26" t="s">
        <v>1425</v>
      </c>
      <c r="R26" t="s">
        <v>1425</v>
      </c>
      <c r="S26" t="s">
        <v>1425</v>
      </c>
      <c r="T26" t="s">
        <v>1425</v>
      </c>
      <c r="U26" t="s">
        <v>1425</v>
      </c>
      <c r="V26" t="s">
        <v>1427</v>
      </c>
      <c r="W26" t="s">
        <v>1427</v>
      </c>
      <c r="X26" t="s">
        <v>1427</v>
      </c>
    </row>
    <row r="27" spans="1:24" x14ac:dyDescent="0.2">
      <c r="A27" s="31" t="s">
        <v>1237</v>
      </c>
      <c r="B27" s="31">
        <v>1995</v>
      </c>
      <c r="C27" t="s">
        <v>1427</v>
      </c>
      <c r="D27" t="s">
        <v>1427</v>
      </c>
      <c r="E27" t="s">
        <v>1427</v>
      </c>
      <c r="F27" t="s">
        <v>1427</v>
      </c>
      <c r="G27" t="s">
        <v>1427</v>
      </c>
      <c r="H27" t="s">
        <v>1427</v>
      </c>
      <c r="I27" t="s">
        <v>1427</v>
      </c>
      <c r="J27" t="s">
        <v>1427</v>
      </c>
      <c r="K27" t="s">
        <v>1427</v>
      </c>
      <c r="L27" t="s">
        <v>1427</v>
      </c>
      <c r="M27" t="s">
        <v>1427</v>
      </c>
      <c r="N27" t="s">
        <v>1427</v>
      </c>
      <c r="O27" t="s">
        <v>1427</v>
      </c>
      <c r="P27" t="s">
        <v>1427</v>
      </c>
      <c r="Q27" t="s">
        <v>1425</v>
      </c>
      <c r="R27" t="s">
        <v>1425</v>
      </c>
      <c r="S27" t="s">
        <v>1427</v>
      </c>
      <c r="T27" t="s">
        <v>1427</v>
      </c>
      <c r="U27" t="s">
        <v>1427</v>
      </c>
      <c r="V27" t="s">
        <v>1427</v>
      </c>
      <c r="W27" t="s">
        <v>1427</v>
      </c>
      <c r="X27" t="s">
        <v>1427</v>
      </c>
    </row>
    <row r="28" spans="1:24" x14ac:dyDescent="0.2">
      <c r="A28" s="15" t="s">
        <v>858</v>
      </c>
      <c r="B28" s="15">
        <v>1988</v>
      </c>
    </row>
    <row r="29" spans="1:24" x14ac:dyDescent="0.2">
      <c r="A29" s="31" t="s">
        <v>930</v>
      </c>
      <c r="B29" s="31">
        <v>2017</v>
      </c>
      <c r="C29" t="s">
        <v>1427</v>
      </c>
      <c r="D29" t="s">
        <v>1427</v>
      </c>
      <c r="E29" t="s">
        <v>1425</v>
      </c>
      <c r="F29" t="s">
        <v>1427</v>
      </c>
      <c r="G29" t="s">
        <v>1427</v>
      </c>
      <c r="H29" t="s">
        <v>1427</v>
      </c>
      <c r="I29" t="s">
        <v>1427</v>
      </c>
      <c r="J29" t="s">
        <v>1427</v>
      </c>
      <c r="K29" t="s">
        <v>1427</v>
      </c>
      <c r="L29" t="s">
        <v>1427</v>
      </c>
      <c r="M29" t="s">
        <v>1427</v>
      </c>
      <c r="N29" t="s">
        <v>1427</v>
      </c>
      <c r="O29" t="s">
        <v>1427</v>
      </c>
      <c r="P29" t="s">
        <v>1427</v>
      </c>
      <c r="Q29" t="s">
        <v>1425</v>
      </c>
      <c r="R29" t="s">
        <v>1425</v>
      </c>
      <c r="S29" t="s">
        <v>1427</v>
      </c>
      <c r="T29" t="s">
        <v>1427</v>
      </c>
      <c r="U29" t="s">
        <v>1427</v>
      </c>
      <c r="V29" t="s">
        <v>1425</v>
      </c>
      <c r="W29" t="s">
        <v>1425</v>
      </c>
      <c r="X29" t="s">
        <v>1425</v>
      </c>
    </row>
    <row r="30" spans="1:24" x14ac:dyDescent="0.2">
      <c r="A30" s="31" t="s">
        <v>82</v>
      </c>
      <c r="B30" s="31">
        <v>1993</v>
      </c>
      <c r="C30" t="s">
        <v>1427</v>
      </c>
      <c r="D30" t="s">
        <v>1427</v>
      </c>
      <c r="E30" t="s">
        <v>1425</v>
      </c>
      <c r="F30" t="s">
        <v>1425</v>
      </c>
      <c r="G30" t="s">
        <v>1425</v>
      </c>
      <c r="H30" t="s">
        <v>1425</v>
      </c>
      <c r="I30" t="s">
        <v>1425</v>
      </c>
      <c r="J30" t="s">
        <v>1425</v>
      </c>
      <c r="K30" t="s">
        <v>1425</v>
      </c>
      <c r="L30" t="s">
        <v>1425</v>
      </c>
      <c r="M30" t="s">
        <v>1427</v>
      </c>
      <c r="N30" t="s">
        <v>1427</v>
      </c>
      <c r="O30" t="s">
        <v>1427</v>
      </c>
      <c r="P30" t="s">
        <v>1427</v>
      </c>
      <c r="Q30" t="s">
        <v>1425</v>
      </c>
      <c r="R30" t="s">
        <v>1425</v>
      </c>
      <c r="S30" t="s">
        <v>1425</v>
      </c>
      <c r="T30" t="s">
        <v>1425</v>
      </c>
      <c r="U30" t="s">
        <v>1425</v>
      </c>
      <c r="V30" t="s">
        <v>1427</v>
      </c>
      <c r="W30" t="s">
        <v>1427</v>
      </c>
      <c r="X30" t="s">
        <v>1427</v>
      </c>
    </row>
    <row r="31" spans="1:24" x14ac:dyDescent="0.2">
      <c r="A31" s="15" t="s">
        <v>52</v>
      </c>
      <c r="B31" s="15">
        <v>2005</v>
      </c>
      <c r="C31" t="s">
        <v>1427</v>
      </c>
      <c r="D31" t="s">
        <v>1427</v>
      </c>
      <c r="E31" t="s">
        <v>1427</v>
      </c>
      <c r="F31" t="s">
        <v>1427</v>
      </c>
      <c r="G31" t="s">
        <v>1427</v>
      </c>
      <c r="H31" t="s">
        <v>1427</v>
      </c>
      <c r="I31" t="s">
        <v>1427</v>
      </c>
      <c r="J31" t="s">
        <v>1427</v>
      </c>
      <c r="K31" t="s">
        <v>1427</v>
      </c>
      <c r="L31" t="s">
        <v>1427</v>
      </c>
      <c r="M31" t="s">
        <v>1427</v>
      </c>
      <c r="N31" t="s">
        <v>1427</v>
      </c>
      <c r="O31" t="s">
        <v>1427</v>
      </c>
      <c r="P31" t="s">
        <v>1427</v>
      </c>
      <c r="Q31" t="s">
        <v>1427</v>
      </c>
      <c r="R31" t="s">
        <v>1427</v>
      </c>
      <c r="S31" t="s">
        <v>1427</v>
      </c>
      <c r="T31" t="s">
        <v>1427</v>
      </c>
      <c r="U31" t="s">
        <v>1427</v>
      </c>
      <c r="V31" t="s">
        <v>1427</v>
      </c>
      <c r="W31" t="s">
        <v>1427</v>
      </c>
      <c r="X31" t="s">
        <v>1427</v>
      </c>
    </row>
    <row r="32" spans="1:24" x14ac:dyDescent="0.2">
      <c r="A32" s="15" t="s">
        <v>153</v>
      </c>
      <c r="B32" s="15">
        <v>2002</v>
      </c>
      <c r="C32" t="s">
        <v>1427</v>
      </c>
      <c r="D32" t="s">
        <v>1427</v>
      </c>
      <c r="E32" t="s">
        <v>1427</v>
      </c>
      <c r="F32" t="s">
        <v>1427</v>
      </c>
      <c r="G32" t="s">
        <v>1427</v>
      </c>
      <c r="H32" t="s">
        <v>1427</v>
      </c>
      <c r="I32" t="s">
        <v>1427</v>
      </c>
      <c r="J32" t="s">
        <v>1427</v>
      </c>
      <c r="K32" t="s">
        <v>1427</v>
      </c>
      <c r="L32" t="s">
        <v>1427</v>
      </c>
      <c r="M32" t="s">
        <v>1427</v>
      </c>
      <c r="N32" t="s">
        <v>1427</v>
      </c>
      <c r="O32" t="s">
        <v>1427</v>
      </c>
      <c r="P32" t="s">
        <v>1427</v>
      </c>
      <c r="Q32" t="s">
        <v>1427</v>
      </c>
      <c r="R32" t="s">
        <v>1427</v>
      </c>
      <c r="S32" t="s">
        <v>1427</v>
      </c>
      <c r="T32" t="s">
        <v>1427</v>
      </c>
      <c r="U32" t="s">
        <v>1427</v>
      </c>
      <c r="V32" t="s">
        <v>1427</v>
      </c>
      <c r="W32" t="s">
        <v>1427</v>
      </c>
      <c r="X32" t="s">
        <v>1427</v>
      </c>
    </row>
    <row r="33" spans="1:24" x14ac:dyDescent="0.2">
      <c r="A33" s="31" t="s">
        <v>279</v>
      </c>
      <c r="B33" s="31">
        <v>1996</v>
      </c>
      <c r="C33" t="s">
        <v>1425</v>
      </c>
      <c r="D33" t="s">
        <v>1427</v>
      </c>
      <c r="E33" t="s">
        <v>1427</v>
      </c>
      <c r="F33" t="s">
        <v>1426</v>
      </c>
      <c r="G33" t="s">
        <v>1426</v>
      </c>
      <c r="H33" t="s">
        <v>1425</v>
      </c>
      <c r="I33" t="s">
        <v>1425</v>
      </c>
      <c r="J33" t="s">
        <v>1425</v>
      </c>
      <c r="K33" t="s">
        <v>1427</v>
      </c>
      <c r="L33" t="s">
        <v>1427</v>
      </c>
      <c r="M33" t="s">
        <v>1425</v>
      </c>
      <c r="N33" t="s">
        <v>1427</v>
      </c>
      <c r="O33" t="s">
        <v>1427</v>
      </c>
      <c r="P33" t="s">
        <v>1427</v>
      </c>
      <c r="Q33" t="s">
        <v>1425</v>
      </c>
      <c r="R33" t="s">
        <v>1425</v>
      </c>
      <c r="S33" t="s">
        <v>1426</v>
      </c>
      <c r="T33" t="s">
        <v>1426</v>
      </c>
      <c r="U33" t="s">
        <v>1427</v>
      </c>
      <c r="V33" t="s">
        <v>1427</v>
      </c>
      <c r="W33" t="s">
        <v>1425</v>
      </c>
      <c r="X33" t="s">
        <v>1427</v>
      </c>
    </row>
    <row r="34" spans="1:24" x14ac:dyDescent="0.2">
      <c r="A34" s="31" t="s">
        <v>931</v>
      </c>
      <c r="B34" s="31">
        <v>2017</v>
      </c>
    </row>
    <row r="35" spans="1:24" x14ac:dyDescent="0.2">
      <c r="A35" s="31" t="s">
        <v>975</v>
      </c>
      <c r="B35" s="31">
        <v>2021</v>
      </c>
      <c r="C35" t="s">
        <v>1425</v>
      </c>
      <c r="D35" t="s">
        <v>1425</v>
      </c>
      <c r="E35" t="s">
        <v>1425</v>
      </c>
      <c r="F35" t="s">
        <v>1425</v>
      </c>
      <c r="G35" t="s">
        <v>1425</v>
      </c>
      <c r="H35" t="s">
        <v>1425</v>
      </c>
      <c r="I35" t="s">
        <v>1425</v>
      </c>
      <c r="J35" t="s">
        <v>1425</v>
      </c>
      <c r="K35" t="s">
        <v>1425</v>
      </c>
      <c r="L35" t="s">
        <v>1425</v>
      </c>
      <c r="M35" t="s">
        <v>1425</v>
      </c>
      <c r="N35" t="s">
        <v>1425</v>
      </c>
      <c r="O35" t="s">
        <v>1425</v>
      </c>
      <c r="P35" t="s">
        <v>1425</v>
      </c>
      <c r="Q35" t="s">
        <v>1425</v>
      </c>
      <c r="R35" t="s">
        <v>1425</v>
      </c>
      <c r="S35" t="s">
        <v>1425</v>
      </c>
      <c r="T35" t="s">
        <v>1425</v>
      </c>
      <c r="U35" t="s">
        <v>1425</v>
      </c>
      <c r="V35" t="s">
        <v>1425</v>
      </c>
      <c r="W35" t="s">
        <v>1425</v>
      </c>
      <c r="X35" t="s">
        <v>1425</v>
      </c>
    </row>
    <row r="36" spans="1:24" x14ac:dyDescent="0.2">
      <c r="A36" s="15" t="s">
        <v>53</v>
      </c>
      <c r="B36" s="15">
        <v>2005</v>
      </c>
      <c r="C36" t="s">
        <v>1425</v>
      </c>
      <c r="D36" t="s">
        <v>1425</v>
      </c>
      <c r="E36" t="s">
        <v>1425</v>
      </c>
      <c r="F36" t="s">
        <v>1425</v>
      </c>
      <c r="G36" t="s">
        <v>1425</v>
      </c>
      <c r="H36" t="s">
        <v>1425</v>
      </c>
      <c r="I36" t="s">
        <v>1425</v>
      </c>
      <c r="J36" t="s">
        <v>1425</v>
      </c>
      <c r="K36" t="s">
        <v>1426</v>
      </c>
      <c r="L36" t="s">
        <v>1427</v>
      </c>
      <c r="M36" t="s">
        <v>1426</v>
      </c>
      <c r="N36" t="s">
        <v>1427</v>
      </c>
      <c r="O36" t="s">
        <v>1427</v>
      </c>
      <c r="P36" t="s">
        <v>1427</v>
      </c>
      <c r="Q36" t="s">
        <v>1425</v>
      </c>
      <c r="R36" t="s">
        <v>1425</v>
      </c>
      <c r="S36" t="s">
        <v>1425</v>
      </c>
      <c r="T36" t="s">
        <v>1425</v>
      </c>
      <c r="U36" t="s">
        <v>1425</v>
      </c>
      <c r="V36" t="s">
        <v>1427</v>
      </c>
      <c r="W36" t="s">
        <v>1425</v>
      </c>
      <c r="X36" t="s">
        <v>1427</v>
      </c>
    </row>
    <row r="37" spans="1:24" x14ac:dyDescent="0.2">
      <c r="A37" s="31" t="s">
        <v>929</v>
      </c>
      <c r="B37" s="31">
        <v>2016</v>
      </c>
    </row>
    <row r="38" spans="1:24" x14ac:dyDescent="0.2">
      <c r="A38" s="31" t="s">
        <v>253</v>
      </c>
      <c r="B38" s="31">
        <v>2002</v>
      </c>
      <c r="C38" t="s">
        <v>1425</v>
      </c>
      <c r="D38" t="s">
        <v>1427</v>
      </c>
      <c r="E38" t="s">
        <v>1425</v>
      </c>
      <c r="F38" t="s">
        <v>1426</v>
      </c>
      <c r="G38" t="s">
        <v>1426</v>
      </c>
      <c r="H38" t="s">
        <v>1425</v>
      </c>
      <c r="I38" t="s">
        <v>1425</v>
      </c>
      <c r="J38" t="s">
        <v>1425</v>
      </c>
      <c r="K38" t="s">
        <v>1425</v>
      </c>
      <c r="L38" t="s">
        <v>1425</v>
      </c>
      <c r="M38" t="s">
        <v>1425</v>
      </c>
      <c r="N38" t="s">
        <v>1425</v>
      </c>
      <c r="O38" t="s">
        <v>1425</v>
      </c>
      <c r="P38" t="s">
        <v>1425</v>
      </c>
      <c r="Q38" t="s">
        <v>1425</v>
      </c>
      <c r="R38" t="s">
        <v>1425</v>
      </c>
      <c r="S38" t="s">
        <v>1426</v>
      </c>
      <c r="T38" t="s">
        <v>1426</v>
      </c>
      <c r="U38" t="s">
        <v>1427</v>
      </c>
      <c r="V38" t="s">
        <v>1427</v>
      </c>
      <c r="W38" t="s">
        <v>1425</v>
      </c>
      <c r="X38" t="s">
        <v>1427</v>
      </c>
    </row>
    <row r="39" spans="1:24" x14ac:dyDescent="0.2">
      <c r="A39" s="15" t="s">
        <v>57</v>
      </c>
      <c r="B39" s="15">
        <v>2003</v>
      </c>
      <c r="C39" t="s">
        <v>1425</v>
      </c>
      <c r="D39" t="s">
        <v>1425</v>
      </c>
      <c r="E39" t="s">
        <v>1425</v>
      </c>
      <c r="F39" t="s">
        <v>1425</v>
      </c>
      <c r="G39" t="s">
        <v>1425</v>
      </c>
      <c r="H39" t="s">
        <v>1425</v>
      </c>
      <c r="I39" t="s">
        <v>1425</v>
      </c>
      <c r="J39" t="s">
        <v>1425</v>
      </c>
      <c r="K39" t="s">
        <v>1426</v>
      </c>
      <c r="L39" t="s">
        <v>1427</v>
      </c>
      <c r="M39" t="s">
        <v>1426</v>
      </c>
      <c r="N39" t="s">
        <v>1427</v>
      </c>
      <c r="O39" t="s">
        <v>1427</v>
      </c>
      <c r="P39" t="s">
        <v>1427</v>
      </c>
      <c r="Q39" t="s">
        <v>1425</v>
      </c>
      <c r="R39" t="s">
        <v>1425</v>
      </c>
      <c r="S39" t="s">
        <v>1425</v>
      </c>
      <c r="T39" t="s">
        <v>1425</v>
      </c>
      <c r="U39" t="s">
        <v>1425</v>
      </c>
      <c r="V39" t="s">
        <v>1427</v>
      </c>
      <c r="W39" t="s">
        <v>1425</v>
      </c>
      <c r="X39" t="s">
        <v>1427</v>
      </c>
    </row>
    <row r="40" spans="1:24" x14ac:dyDescent="0.2">
      <c r="A40" s="15" t="s">
        <v>19</v>
      </c>
      <c r="B40" s="15">
        <v>2006</v>
      </c>
      <c r="C40" t="s">
        <v>1425</v>
      </c>
      <c r="D40" t="s">
        <v>1425</v>
      </c>
      <c r="E40" t="s">
        <v>1425</v>
      </c>
      <c r="F40" t="s">
        <v>1425</v>
      </c>
      <c r="G40" t="s">
        <v>1425</v>
      </c>
      <c r="H40" t="s">
        <v>1425</v>
      </c>
      <c r="I40" t="s">
        <v>1425</v>
      </c>
      <c r="J40" t="s">
        <v>1425</v>
      </c>
      <c r="K40" t="s">
        <v>1426</v>
      </c>
      <c r="L40" t="s">
        <v>1427</v>
      </c>
      <c r="M40" t="s">
        <v>1425</v>
      </c>
      <c r="N40" t="s">
        <v>1425</v>
      </c>
      <c r="O40" t="s">
        <v>1425</v>
      </c>
      <c r="P40" t="s">
        <v>1425</v>
      </c>
      <c r="Q40" t="s">
        <v>1425</v>
      </c>
      <c r="R40" t="s">
        <v>1425</v>
      </c>
      <c r="S40" t="s">
        <v>1425</v>
      </c>
      <c r="T40" t="s">
        <v>1425</v>
      </c>
      <c r="U40" t="s">
        <v>1425</v>
      </c>
      <c r="V40" t="s">
        <v>1427</v>
      </c>
      <c r="W40" t="s">
        <v>1425</v>
      </c>
      <c r="X40" t="s">
        <v>1427</v>
      </c>
    </row>
    <row r="41" spans="1:24" x14ac:dyDescent="0.2">
      <c r="A41" s="15" t="s">
        <v>85</v>
      </c>
      <c r="B41" s="15">
        <v>2012</v>
      </c>
      <c r="C41" t="s">
        <v>1425</v>
      </c>
      <c r="D41" t="s">
        <v>1425</v>
      </c>
      <c r="E41" t="s">
        <v>1425</v>
      </c>
      <c r="F41" t="s">
        <v>1425</v>
      </c>
      <c r="G41" t="s">
        <v>1425</v>
      </c>
      <c r="H41" t="s">
        <v>1425</v>
      </c>
      <c r="I41" t="s">
        <v>1425</v>
      </c>
      <c r="J41" t="s">
        <v>1425</v>
      </c>
      <c r="K41" t="s">
        <v>1425</v>
      </c>
      <c r="L41" t="s">
        <v>1425</v>
      </c>
      <c r="M41" t="s">
        <v>1425</v>
      </c>
      <c r="N41" t="s">
        <v>1425</v>
      </c>
      <c r="O41" t="s">
        <v>1425</v>
      </c>
      <c r="P41" t="s">
        <v>1425</v>
      </c>
      <c r="Q41" t="s">
        <v>1425</v>
      </c>
      <c r="R41" t="s">
        <v>1425</v>
      </c>
      <c r="S41" t="s">
        <v>1425</v>
      </c>
      <c r="T41" t="s">
        <v>1425</v>
      </c>
      <c r="U41" t="s">
        <v>1425</v>
      </c>
      <c r="V41" t="s">
        <v>1427</v>
      </c>
      <c r="W41" t="s">
        <v>1425</v>
      </c>
      <c r="X41" t="s">
        <v>1427</v>
      </c>
    </row>
    <row r="42" spans="1:24" x14ac:dyDescent="0.2">
      <c r="A42" s="15" t="s">
        <v>225</v>
      </c>
      <c r="B42" s="15">
        <v>2004</v>
      </c>
      <c r="C42" t="s">
        <v>1427</v>
      </c>
      <c r="D42" t="s">
        <v>1427</v>
      </c>
      <c r="E42" t="s">
        <v>1427</v>
      </c>
      <c r="F42" t="s">
        <v>1426</v>
      </c>
      <c r="G42" t="s">
        <v>1426</v>
      </c>
      <c r="H42" t="s">
        <v>1425</v>
      </c>
      <c r="I42" t="s">
        <v>1425</v>
      </c>
      <c r="J42" t="s">
        <v>1425</v>
      </c>
      <c r="K42" t="s">
        <v>1427</v>
      </c>
      <c r="L42" t="s">
        <v>1427</v>
      </c>
      <c r="M42" t="s">
        <v>1425</v>
      </c>
      <c r="N42" t="s">
        <v>1427</v>
      </c>
      <c r="O42" t="s">
        <v>1427</v>
      </c>
      <c r="P42" t="s">
        <v>1427</v>
      </c>
      <c r="Q42" t="s">
        <v>1425</v>
      </c>
      <c r="R42" t="s">
        <v>1425</v>
      </c>
      <c r="S42" t="s">
        <v>1426</v>
      </c>
      <c r="T42" t="s">
        <v>1426</v>
      </c>
      <c r="U42" t="s">
        <v>1427</v>
      </c>
      <c r="V42" t="s">
        <v>1427</v>
      </c>
      <c r="W42" t="s">
        <v>1425</v>
      </c>
      <c r="X42" t="s">
        <v>1427</v>
      </c>
    </row>
    <row r="43" spans="1:24" x14ac:dyDescent="0.2">
      <c r="A43" s="15" t="s">
        <v>154</v>
      </c>
      <c r="B43" s="15">
        <v>2001</v>
      </c>
      <c r="C43" t="s">
        <v>1427</v>
      </c>
      <c r="D43" t="s">
        <v>1427</v>
      </c>
      <c r="E43" t="s">
        <v>1427</v>
      </c>
      <c r="F43" t="s">
        <v>1426</v>
      </c>
      <c r="G43" t="s">
        <v>1426</v>
      </c>
      <c r="H43" t="s">
        <v>1425</v>
      </c>
      <c r="I43" t="s">
        <v>1425</v>
      </c>
      <c r="J43" t="s">
        <v>1425</v>
      </c>
      <c r="K43" t="s">
        <v>1427</v>
      </c>
      <c r="L43" t="s">
        <v>1427</v>
      </c>
      <c r="M43" t="s">
        <v>1425</v>
      </c>
      <c r="N43" t="s">
        <v>1427</v>
      </c>
      <c r="O43" t="s">
        <v>1427</v>
      </c>
      <c r="P43" t="s">
        <v>1427</v>
      </c>
      <c r="Q43" t="s">
        <v>1425</v>
      </c>
      <c r="R43" t="s">
        <v>1425</v>
      </c>
      <c r="S43" t="s">
        <v>1426</v>
      </c>
      <c r="T43" t="s">
        <v>1426</v>
      </c>
      <c r="U43" t="s">
        <v>1427</v>
      </c>
      <c r="V43" t="s">
        <v>1427</v>
      </c>
      <c r="W43" t="s">
        <v>1425</v>
      </c>
      <c r="X43" t="s">
        <v>1427</v>
      </c>
    </row>
    <row r="44" spans="1:24" x14ac:dyDescent="0.2">
      <c r="A44" s="31" t="s">
        <v>927</v>
      </c>
      <c r="B44" s="31">
        <v>2012</v>
      </c>
    </row>
    <row r="45" spans="1:24" x14ac:dyDescent="0.2">
      <c r="A45" s="15" t="s">
        <v>284</v>
      </c>
      <c r="B45" s="15">
        <v>2001</v>
      </c>
      <c r="C45" t="s">
        <v>1427</v>
      </c>
      <c r="D45" t="s">
        <v>1427</v>
      </c>
      <c r="E45" t="s">
        <v>1427</v>
      </c>
      <c r="F45" t="s">
        <v>1427</v>
      </c>
      <c r="G45" t="s">
        <v>1427</v>
      </c>
      <c r="H45" t="s">
        <v>1427</v>
      </c>
      <c r="I45" t="s">
        <v>1427</v>
      </c>
      <c r="J45" t="s">
        <v>1427</v>
      </c>
      <c r="K45" t="s">
        <v>1427</v>
      </c>
      <c r="L45" t="s">
        <v>1427</v>
      </c>
      <c r="M45" t="s">
        <v>1427</v>
      </c>
      <c r="N45" t="s">
        <v>1427</v>
      </c>
      <c r="O45" t="s">
        <v>1427</v>
      </c>
      <c r="P45" t="s">
        <v>1427</v>
      </c>
      <c r="Q45" t="s">
        <v>1427</v>
      </c>
      <c r="R45" t="s">
        <v>1427</v>
      </c>
      <c r="S45" t="s">
        <v>1427</v>
      </c>
      <c r="T45" t="s">
        <v>1427</v>
      </c>
      <c r="U45" t="s">
        <v>1427</v>
      </c>
      <c r="V45" t="s">
        <v>1427</v>
      </c>
      <c r="W45" t="s">
        <v>1427</v>
      </c>
      <c r="X45" t="s">
        <v>1427</v>
      </c>
    </row>
    <row r="46" spans="1:24" x14ac:dyDescent="0.2">
      <c r="A46" s="15" t="s">
        <v>20</v>
      </c>
      <c r="B46" s="15">
        <v>2007</v>
      </c>
      <c r="C46" t="s">
        <v>1427</v>
      </c>
      <c r="D46" t="s">
        <v>1427</v>
      </c>
      <c r="E46" t="s">
        <v>1425</v>
      </c>
      <c r="F46" t="s">
        <v>1426</v>
      </c>
      <c r="G46" t="s">
        <v>1426</v>
      </c>
      <c r="H46" t="s">
        <v>1427</v>
      </c>
      <c r="I46" t="s">
        <v>1427</v>
      </c>
      <c r="J46" t="s">
        <v>1427</v>
      </c>
      <c r="K46" t="s">
        <v>1427</v>
      </c>
      <c r="L46" t="s">
        <v>1427</v>
      </c>
      <c r="M46" t="s">
        <v>1427</v>
      </c>
      <c r="N46" t="s">
        <v>1427</v>
      </c>
      <c r="O46" t="s">
        <v>1427</v>
      </c>
      <c r="P46" t="s">
        <v>1427</v>
      </c>
      <c r="Q46" t="s">
        <v>1425</v>
      </c>
      <c r="R46" t="s">
        <v>1425</v>
      </c>
      <c r="S46" t="s">
        <v>1426</v>
      </c>
      <c r="T46" t="s">
        <v>1427</v>
      </c>
      <c r="U46" t="s">
        <v>1427</v>
      </c>
      <c r="V46" t="s">
        <v>1427</v>
      </c>
      <c r="W46" t="s">
        <v>1425</v>
      </c>
      <c r="X46" t="s">
        <v>1427</v>
      </c>
    </row>
    <row r="47" spans="1:24" x14ac:dyDescent="0.2">
      <c r="A47" s="15" t="s">
        <v>20</v>
      </c>
      <c r="B47" s="15">
        <v>2010</v>
      </c>
      <c r="C47" t="s">
        <v>1427</v>
      </c>
      <c r="D47" t="s">
        <v>1427</v>
      </c>
      <c r="E47" t="s">
        <v>1425</v>
      </c>
      <c r="F47" t="s">
        <v>1425</v>
      </c>
      <c r="G47" t="s">
        <v>1425</v>
      </c>
      <c r="H47" t="s">
        <v>1425</v>
      </c>
      <c r="I47" t="s">
        <v>1425</v>
      </c>
      <c r="J47" t="s">
        <v>1425</v>
      </c>
      <c r="K47" t="s">
        <v>1427</v>
      </c>
      <c r="L47" t="s">
        <v>1427</v>
      </c>
      <c r="M47" t="s">
        <v>1425</v>
      </c>
      <c r="N47" t="s">
        <v>1425</v>
      </c>
      <c r="O47" t="s">
        <v>1427</v>
      </c>
      <c r="P47" t="s">
        <v>1427</v>
      </c>
      <c r="Q47" t="s">
        <v>1425</v>
      </c>
      <c r="R47" t="s">
        <v>1425</v>
      </c>
      <c r="S47" t="s">
        <v>1425</v>
      </c>
      <c r="T47" t="s">
        <v>1425</v>
      </c>
      <c r="U47" t="s">
        <v>1425</v>
      </c>
      <c r="V47" t="s">
        <v>1427</v>
      </c>
      <c r="W47" t="s">
        <v>1425</v>
      </c>
      <c r="X47" t="s">
        <v>1427</v>
      </c>
    </row>
    <row r="48" spans="1:24" x14ac:dyDescent="0.2">
      <c r="A48" s="15" t="s">
        <v>20</v>
      </c>
      <c r="B48" s="15">
        <v>1997</v>
      </c>
      <c r="C48" t="s">
        <v>1425</v>
      </c>
      <c r="D48" t="s">
        <v>1425</v>
      </c>
      <c r="E48" t="s">
        <v>1425</v>
      </c>
      <c r="F48" t="s">
        <v>1425</v>
      </c>
      <c r="G48" t="s">
        <v>1425</v>
      </c>
      <c r="H48" t="s">
        <v>1425</v>
      </c>
      <c r="I48" t="s">
        <v>1425</v>
      </c>
      <c r="J48" t="s">
        <v>1425</v>
      </c>
      <c r="K48" t="s">
        <v>1425</v>
      </c>
      <c r="L48" t="s">
        <v>1425</v>
      </c>
      <c r="M48" t="s">
        <v>1425</v>
      </c>
      <c r="N48" t="s">
        <v>1425</v>
      </c>
      <c r="O48" t="s">
        <v>1425</v>
      </c>
      <c r="P48" t="s">
        <v>1425</v>
      </c>
      <c r="Q48" t="s">
        <v>1425</v>
      </c>
      <c r="R48" t="s">
        <v>1425</v>
      </c>
      <c r="S48" t="s">
        <v>1425</v>
      </c>
      <c r="T48" t="s">
        <v>1425</v>
      </c>
      <c r="U48" t="s">
        <v>1425</v>
      </c>
      <c r="V48" t="s">
        <v>1425</v>
      </c>
      <c r="W48" t="s">
        <v>1425</v>
      </c>
      <c r="X48" t="s">
        <v>1425</v>
      </c>
    </row>
    <row r="49" spans="1:24" x14ac:dyDescent="0.2">
      <c r="A49" s="31" t="s">
        <v>1353</v>
      </c>
      <c r="B49" s="31">
        <v>2016</v>
      </c>
      <c r="C49" t="s">
        <v>1425</v>
      </c>
      <c r="D49" t="s">
        <v>1425</v>
      </c>
      <c r="E49" t="s">
        <v>1425</v>
      </c>
      <c r="F49" t="s">
        <v>1425</v>
      </c>
      <c r="G49" t="s">
        <v>1425</v>
      </c>
      <c r="H49" t="s">
        <v>1425</v>
      </c>
      <c r="I49" t="s">
        <v>1425</v>
      </c>
      <c r="J49" t="s">
        <v>1425</v>
      </c>
      <c r="K49" t="s">
        <v>1425</v>
      </c>
      <c r="L49" t="s">
        <v>1425</v>
      </c>
      <c r="M49" t="s">
        <v>1425</v>
      </c>
      <c r="N49" t="s">
        <v>1425</v>
      </c>
      <c r="O49" t="s">
        <v>1425</v>
      </c>
      <c r="P49" t="s">
        <v>1425</v>
      </c>
      <c r="Q49" t="s">
        <v>1425</v>
      </c>
      <c r="R49" t="s">
        <v>1425</v>
      </c>
      <c r="S49" t="s">
        <v>1425</v>
      </c>
      <c r="T49" t="s">
        <v>1425</v>
      </c>
      <c r="U49" t="s">
        <v>1425</v>
      </c>
      <c r="V49" t="s">
        <v>1425</v>
      </c>
      <c r="W49" t="s">
        <v>1425</v>
      </c>
      <c r="X49" t="s">
        <v>1425</v>
      </c>
    </row>
    <row r="50" spans="1:24" x14ac:dyDescent="0.2">
      <c r="A50" s="31" t="s">
        <v>213</v>
      </c>
      <c r="B50" s="31">
        <v>2002</v>
      </c>
      <c r="C50" t="s">
        <v>1425</v>
      </c>
      <c r="D50" t="s">
        <v>1427</v>
      </c>
      <c r="E50" t="s">
        <v>1425</v>
      </c>
      <c r="F50" t="s">
        <v>1426</v>
      </c>
      <c r="G50" t="s">
        <v>1426</v>
      </c>
      <c r="H50" t="s">
        <v>1427</v>
      </c>
      <c r="I50" t="s">
        <v>1427</v>
      </c>
      <c r="J50" t="s">
        <v>1427</v>
      </c>
      <c r="K50" t="s">
        <v>1427</v>
      </c>
      <c r="L50" t="s">
        <v>1427</v>
      </c>
      <c r="M50" t="s">
        <v>1427</v>
      </c>
      <c r="N50" t="s">
        <v>1427</v>
      </c>
      <c r="O50" t="s">
        <v>1427</v>
      </c>
      <c r="P50" t="s">
        <v>1427</v>
      </c>
      <c r="Q50" t="s">
        <v>1425</v>
      </c>
      <c r="R50" t="s">
        <v>1425</v>
      </c>
      <c r="S50" t="s">
        <v>1426</v>
      </c>
      <c r="T50" t="s">
        <v>1427</v>
      </c>
      <c r="U50" t="s">
        <v>1427</v>
      </c>
      <c r="V50" t="s">
        <v>1427</v>
      </c>
      <c r="W50" t="s">
        <v>1425</v>
      </c>
      <c r="X50" t="s">
        <v>1427</v>
      </c>
    </row>
    <row r="51" spans="1:24" x14ac:dyDescent="0.2">
      <c r="A51" s="31" t="s">
        <v>122</v>
      </c>
      <c r="B51" s="31">
        <v>2004</v>
      </c>
      <c r="C51" t="s">
        <v>1425</v>
      </c>
      <c r="D51" t="s">
        <v>1427</v>
      </c>
      <c r="E51" t="s">
        <v>1425</v>
      </c>
      <c r="F51" t="s">
        <v>1426</v>
      </c>
      <c r="G51" t="s">
        <v>1426</v>
      </c>
      <c r="H51" t="s">
        <v>1427</v>
      </c>
      <c r="I51" t="s">
        <v>1427</v>
      </c>
      <c r="J51" t="s">
        <v>1427</v>
      </c>
      <c r="K51" t="s">
        <v>1427</v>
      </c>
      <c r="L51" t="s">
        <v>1427</v>
      </c>
      <c r="M51" t="s">
        <v>1425</v>
      </c>
      <c r="N51" t="s">
        <v>1427</v>
      </c>
      <c r="O51" t="s">
        <v>1427</v>
      </c>
      <c r="P51" t="s">
        <v>1427</v>
      </c>
      <c r="Q51" t="s">
        <v>1425</v>
      </c>
      <c r="R51" t="s">
        <v>1425</v>
      </c>
      <c r="S51" t="s">
        <v>1426</v>
      </c>
      <c r="T51" t="s">
        <v>1427</v>
      </c>
      <c r="U51" t="s">
        <v>1427</v>
      </c>
      <c r="V51" t="s">
        <v>1427</v>
      </c>
      <c r="W51" t="s">
        <v>1425</v>
      </c>
      <c r="X51" t="s">
        <v>1427</v>
      </c>
    </row>
    <row r="52" spans="1:24" x14ac:dyDescent="0.2">
      <c r="A52" s="15" t="s">
        <v>122</v>
      </c>
      <c r="B52" s="15">
        <v>2002</v>
      </c>
      <c r="C52" t="s">
        <v>1427</v>
      </c>
      <c r="D52" t="s">
        <v>1427</v>
      </c>
      <c r="E52" t="s">
        <v>1425</v>
      </c>
      <c r="F52" t="s">
        <v>1426</v>
      </c>
      <c r="G52" t="s">
        <v>1426</v>
      </c>
      <c r="H52" t="s">
        <v>1427</v>
      </c>
      <c r="I52" t="s">
        <v>1427</v>
      </c>
      <c r="J52" t="s">
        <v>1427</v>
      </c>
      <c r="K52" t="s">
        <v>1427</v>
      </c>
      <c r="L52" t="s">
        <v>1427</v>
      </c>
      <c r="M52" t="s">
        <v>1425</v>
      </c>
      <c r="N52" t="s">
        <v>1425</v>
      </c>
      <c r="O52" t="s">
        <v>1427</v>
      </c>
      <c r="P52" t="s">
        <v>1427</v>
      </c>
      <c r="Q52" t="s">
        <v>1425</v>
      </c>
      <c r="R52" t="s">
        <v>1425</v>
      </c>
      <c r="S52" t="s">
        <v>1425</v>
      </c>
      <c r="T52" t="s">
        <v>1425</v>
      </c>
      <c r="U52" t="s">
        <v>1425</v>
      </c>
      <c r="V52" t="s">
        <v>1427</v>
      </c>
      <c r="W52" t="s">
        <v>1425</v>
      </c>
      <c r="X52" t="s">
        <v>1427</v>
      </c>
    </row>
    <row r="53" spans="1:24" x14ac:dyDescent="0.2">
      <c r="A53" s="15" t="s">
        <v>157</v>
      </c>
      <c r="B53" s="15">
        <v>2002</v>
      </c>
      <c r="C53" t="s">
        <v>1427</v>
      </c>
      <c r="D53" t="s">
        <v>1427</v>
      </c>
      <c r="E53" t="s">
        <v>1425</v>
      </c>
      <c r="F53" t="s">
        <v>1426</v>
      </c>
      <c r="G53" t="s">
        <v>1426</v>
      </c>
      <c r="H53" t="s">
        <v>1427</v>
      </c>
      <c r="I53" t="s">
        <v>1427</v>
      </c>
      <c r="J53" t="s">
        <v>1427</v>
      </c>
      <c r="K53" t="s">
        <v>1427</v>
      </c>
      <c r="L53" t="s">
        <v>1427</v>
      </c>
      <c r="M53" t="s">
        <v>1427</v>
      </c>
      <c r="N53" t="s">
        <v>1427</v>
      </c>
      <c r="O53" t="s">
        <v>1427</v>
      </c>
      <c r="P53" t="s">
        <v>1427</v>
      </c>
      <c r="Q53" t="s">
        <v>1425</v>
      </c>
      <c r="R53" t="s">
        <v>1425</v>
      </c>
      <c r="S53" t="s">
        <v>1426</v>
      </c>
      <c r="T53" t="s">
        <v>1427</v>
      </c>
      <c r="U53" t="s">
        <v>1427</v>
      </c>
      <c r="V53" t="s">
        <v>1427</v>
      </c>
      <c r="W53" t="s">
        <v>1425</v>
      </c>
      <c r="X53" t="s">
        <v>1427</v>
      </c>
    </row>
    <row r="54" spans="1:24" x14ac:dyDescent="0.2">
      <c r="A54" s="31" t="s">
        <v>1249</v>
      </c>
      <c r="B54" s="31">
        <v>1987</v>
      </c>
      <c r="C54" t="s">
        <v>1425</v>
      </c>
      <c r="D54" t="s">
        <v>1427</v>
      </c>
      <c r="E54" t="s">
        <v>1425</v>
      </c>
      <c r="F54" t="s">
        <v>1426</v>
      </c>
      <c r="G54" t="s">
        <v>1426</v>
      </c>
      <c r="H54" t="s">
        <v>1427</v>
      </c>
      <c r="I54" t="s">
        <v>1427</v>
      </c>
      <c r="J54" t="s">
        <v>1427</v>
      </c>
      <c r="K54" t="s">
        <v>1427</v>
      </c>
      <c r="L54" t="s">
        <v>1427</v>
      </c>
      <c r="M54" t="s">
        <v>1427</v>
      </c>
      <c r="N54" t="s">
        <v>1427</v>
      </c>
      <c r="O54" t="s">
        <v>1427</v>
      </c>
      <c r="P54" t="s">
        <v>1427</v>
      </c>
      <c r="Q54" t="s">
        <v>1425</v>
      </c>
      <c r="R54" t="s">
        <v>1425</v>
      </c>
      <c r="S54" t="s">
        <v>1427</v>
      </c>
      <c r="T54" t="s">
        <v>1427</v>
      </c>
      <c r="U54" t="s">
        <v>1427</v>
      </c>
      <c r="V54" t="s">
        <v>1427</v>
      </c>
      <c r="W54" t="s">
        <v>1425</v>
      </c>
      <c r="X54" t="s">
        <v>1427</v>
      </c>
    </row>
    <row r="55" spans="1:24" x14ac:dyDescent="0.2">
      <c r="A55" s="31" t="s">
        <v>237</v>
      </c>
      <c r="B55" s="31">
        <v>1994</v>
      </c>
      <c r="C55" t="s">
        <v>1427</v>
      </c>
      <c r="D55" t="s">
        <v>1427</v>
      </c>
      <c r="E55" t="s">
        <v>1425</v>
      </c>
      <c r="F55" t="s">
        <v>1426</v>
      </c>
      <c r="G55" t="s">
        <v>1426</v>
      </c>
      <c r="H55" t="s">
        <v>1425</v>
      </c>
      <c r="I55" t="s">
        <v>1427</v>
      </c>
      <c r="J55" t="s">
        <v>1427</v>
      </c>
      <c r="K55" t="s">
        <v>1427</v>
      </c>
      <c r="L55" t="s">
        <v>1427</v>
      </c>
      <c r="M55" t="s">
        <v>1427</v>
      </c>
      <c r="N55" t="s">
        <v>1427</v>
      </c>
      <c r="O55" t="s">
        <v>1427</v>
      </c>
      <c r="P55" t="s">
        <v>1427</v>
      </c>
      <c r="Q55" t="s">
        <v>1425</v>
      </c>
      <c r="R55" t="s">
        <v>1425</v>
      </c>
      <c r="S55" t="s">
        <v>1426</v>
      </c>
      <c r="T55" t="s">
        <v>1427</v>
      </c>
      <c r="U55" t="s">
        <v>1427</v>
      </c>
      <c r="V55" t="s">
        <v>1427</v>
      </c>
      <c r="W55" t="s">
        <v>1427</v>
      </c>
      <c r="X55" t="s">
        <v>1427</v>
      </c>
    </row>
    <row r="56" spans="1:24" x14ac:dyDescent="0.2">
      <c r="A56" s="30" t="s">
        <v>810</v>
      </c>
      <c r="B56" s="31">
        <v>2009</v>
      </c>
    </row>
    <row r="57" spans="1:24" x14ac:dyDescent="0.2">
      <c r="A57" s="15" t="s">
        <v>188</v>
      </c>
      <c r="B57" s="15">
        <v>2014</v>
      </c>
      <c r="C57" t="s">
        <v>1425</v>
      </c>
      <c r="D57" t="s">
        <v>1425</v>
      </c>
      <c r="E57" t="s">
        <v>1425</v>
      </c>
      <c r="F57" t="s">
        <v>1426</v>
      </c>
      <c r="G57" t="s">
        <v>1426</v>
      </c>
      <c r="H57" t="s">
        <v>1425</v>
      </c>
      <c r="I57" t="s">
        <v>1425</v>
      </c>
      <c r="J57" t="s">
        <v>1425</v>
      </c>
      <c r="K57" t="s">
        <v>1425</v>
      </c>
      <c r="L57" t="s">
        <v>1425</v>
      </c>
      <c r="M57" t="s">
        <v>1425</v>
      </c>
      <c r="N57" t="s">
        <v>1425</v>
      </c>
      <c r="O57" t="s">
        <v>1425</v>
      </c>
      <c r="P57" t="s">
        <v>1425</v>
      </c>
      <c r="Q57" t="s">
        <v>1425</v>
      </c>
      <c r="R57" t="s">
        <v>1425</v>
      </c>
      <c r="S57" t="s">
        <v>1425</v>
      </c>
      <c r="T57" t="s">
        <v>1425</v>
      </c>
      <c r="U57" t="s">
        <v>1425</v>
      </c>
      <c r="V57" t="s">
        <v>1425</v>
      </c>
      <c r="W57" t="s">
        <v>1425</v>
      </c>
      <c r="X57" t="s">
        <v>1425</v>
      </c>
    </row>
    <row r="58" spans="1:24" x14ac:dyDescent="0.2">
      <c r="A58" s="31" t="s">
        <v>297</v>
      </c>
      <c r="B58" s="31">
        <v>1997</v>
      </c>
      <c r="C58" t="s">
        <v>1425</v>
      </c>
      <c r="D58" t="s">
        <v>1425</v>
      </c>
      <c r="E58" t="s">
        <v>1426</v>
      </c>
      <c r="F58" t="s">
        <v>1426</v>
      </c>
      <c r="G58" t="s">
        <v>1426</v>
      </c>
      <c r="H58" t="s">
        <v>1425</v>
      </c>
      <c r="I58" t="s">
        <v>1427</v>
      </c>
      <c r="J58" t="s">
        <v>1427</v>
      </c>
      <c r="K58" t="s">
        <v>1427</v>
      </c>
      <c r="L58" t="s">
        <v>1427</v>
      </c>
      <c r="M58" t="s">
        <v>1427</v>
      </c>
      <c r="N58" t="s">
        <v>1427</v>
      </c>
      <c r="O58" t="s">
        <v>1427</v>
      </c>
      <c r="P58" t="s">
        <v>1427</v>
      </c>
      <c r="Q58" t="s">
        <v>1425</v>
      </c>
      <c r="R58" t="s">
        <v>1425</v>
      </c>
      <c r="S58" t="s">
        <v>1426</v>
      </c>
      <c r="T58" t="s">
        <v>1427</v>
      </c>
      <c r="U58" t="s">
        <v>1427</v>
      </c>
      <c r="V58" t="s">
        <v>1427</v>
      </c>
      <c r="W58" t="s">
        <v>1427</v>
      </c>
      <c r="X58" t="s">
        <v>1427</v>
      </c>
    </row>
    <row r="59" spans="1:24" x14ac:dyDescent="0.2">
      <c r="A59" s="16" t="s">
        <v>1300</v>
      </c>
      <c r="B59" s="15">
        <v>2024</v>
      </c>
      <c r="C59" t="s">
        <v>1425</v>
      </c>
      <c r="D59" t="s">
        <v>1425</v>
      </c>
      <c r="E59" t="s">
        <v>1425</v>
      </c>
      <c r="F59" t="s">
        <v>1425</v>
      </c>
      <c r="G59" t="s">
        <v>1425</v>
      </c>
      <c r="H59" t="s">
        <v>1425</v>
      </c>
      <c r="I59" t="s">
        <v>1425</v>
      </c>
      <c r="J59" t="s">
        <v>1425</v>
      </c>
      <c r="K59" t="s">
        <v>1425</v>
      </c>
      <c r="L59" t="s">
        <v>1425</v>
      </c>
      <c r="M59" t="s">
        <v>1425</v>
      </c>
      <c r="N59" t="s">
        <v>1425</v>
      </c>
      <c r="O59" t="s">
        <v>1425</v>
      </c>
      <c r="P59" t="s">
        <v>1425</v>
      </c>
      <c r="Q59" t="s">
        <v>1425</v>
      </c>
      <c r="R59" t="s">
        <v>1425</v>
      </c>
      <c r="S59" t="s">
        <v>1425</v>
      </c>
      <c r="T59" t="s">
        <v>1425</v>
      </c>
      <c r="U59" t="s">
        <v>1425</v>
      </c>
      <c r="V59" t="s">
        <v>1425</v>
      </c>
      <c r="W59" t="s">
        <v>1425</v>
      </c>
      <c r="X59" t="s">
        <v>1425</v>
      </c>
    </row>
    <row r="60" spans="1:24" x14ac:dyDescent="0.2">
      <c r="A60" s="15" t="s">
        <v>102</v>
      </c>
      <c r="B60" s="15">
        <v>2020</v>
      </c>
      <c r="C60" t="s">
        <v>1425</v>
      </c>
      <c r="D60" t="s">
        <v>1425</v>
      </c>
      <c r="E60" t="s">
        <v>1425</v>
      </c>
      <c r="F60" t="s">
        <v>1425</v>
      </c>
      <c r="G60" t="s">
        <v>1425</v>
      </c>
      <c r="H60" t="s">
        <v>1425</v>
      </c>
      <c r="I60" t="s">
        <v>1425</v>
      </c>
      <c r="J60" t="s">
        <v>1425</v>
      </c>
      <c r="K60" t="s">
        <v>1425</v>
      </c>
      <c r="L60" t="s">
        <v>1425</v>
      </c>
      <c r="M60" t="s">
        <v>1425</v>
      </c>
      <c r="N60" t="s">
        <v>1425</v>
      </c>
      <c r="O60" t="s">
        <v>1425</v>
      </c>
      <c r="P60" t="s">
        <v>1425</v>
      </c>
      <c r="Q60" t="s">
        <v>1425</v>
      </c>
      <c r="R60" t="s">
        <v>1425</v>
      </c>
      <c r="S60" t="s">
        <v>1425</v>
      </c>
      <c r="T60" t="s">
        <v>1425</v>
      </c>
      <c r="U60" t="s">
        <v>1425</v>
      </c>
      <c r="V60" t="s">
        <v>1425</v>
      </c>
      <c r="W60" t="s">
        <v>1425</v>
      </c>
      <c r="X60" t="s">
        <v>1425</v>
      </c>
    </row>
    <row r="61" spans="1:24" x14ac:dyDescent="0.2">
      <c r="A61" s="15" t="s">
        <v>125</v>
      </c>
      <c r="B61" s="15">
        <v>2002</v>
      </c>
      <c r="C61" t="s">
        <v>1425</v>
      </c>
      <c r="D61" t="s">
        <v>1425</v>
      </c>
      <c r="E61" t="s">
        <v>1425</v>
      </c>
      <c r="F61" t="s">
        <v>1425</v>
      </c>
      <c r="G61" t="s">
        <v>1425</v>
      </c>
      <c r="H61" t="s">
        <v>1425</v>
      </c>
      <c r="I61" t="s">
        <v>1425</v>
      </c>
      <c r="J61" t="s">
        <v>1425</v>
      </c>
      <c r="K61" t="s">
        <v>1425</v>
      </c>
      <c r="L61" t="s">
        <v>1425</v>
      </c>
      <c r="M61" t="s">
        <v>1425</v>
      </c>
      <c r="N61" t="s">
        <v>1425</v>
      </c>
      <c r="O61" t="s">
        <v>1425</v>
      </c>
      <c r="P61" t="s">
        <v>1425</v>
      </c>
      <c r="Q61" t="s">
        <v>1425</v>
      </c>
      <c r="R61" t="s">
        <v>1425</v>
      </c>
      <c r="S61" t="s">
        <v>1425</v>
      </c>
      <c r="T61" t="s">
        <v>1425</v>
      </c>
      <c r="U61" t="s">
        <v>1425</v>
      </c>
      <c r="V61" t="s">
        <v>1425</v>
      </c>
      <c r="W61" t="s">
        <v>1425</v>
      </c>
      <c r="X61" t="s">
        <v>1425</v>
      </c>
    </row>
    <row r="62" spans="1:24" x14ac:dyDescent="0.2">
      <c r="A62" s="15" t="s">
        <v>96</v>
      </c>
      <c r="B62" s="15">
        <v>2014</v>
      </c>
      <c r="C62" t="s">
        <v>1425</v>
      </c>
      <c r="D62" t="s">
        <v>1425</v>
      </c>
      <c r="E62" t="s">
        <v>1425</v>
      </c>
      <c r="F62" t="s">
        <v>1425</v>
      </c>
      <c r="G62" t="s">
        <v>1425</v>
      </c>
      <c r="H62" t="s">
        <v>1425</v>
      </c>
      <c r="I62" t="s">
        <v>1425</v>
      </c>
      <c r="J62" t="s">
        <v>1425</v>
      </c>
      <c r="K62" t="s">
        <v>1425</v>
      </c>
      <c r="L62" t="s">
        <v>1425</v>
      </c>
      <c r="M62" t="s">
        <v>1425</v>
      </c>
      <c r="N62" t="s">
        <v>1425</v>
      </c>
      <c r="O62" t="s">
        <v>1425</v>
      </c>
      <c r="P62" t="s">
        <v>1425</v>
      </c>
      <c r="Q62" t="s">
        <v>1425</v>
      </c>
      <c r="R62" t="s">
        <v>1425</v>
      </c>
      <c r="S62" t="s">
        <v>1425</v>
      </c>
      <c r="T62" t="s">
        <v>1425</v>
      </c>
      <c r="U62" t="s">
        <v>1425</v>
      </c>
      <c r="V62" t="s">
        <v>1425</v>
      </c>
      <c r="W62" t="s">
        <v>1425</v>
      </c>
      <c r="X62" t="s">
        <v>1425</v>
      </c>
    </row>
    <row r="63" spans="1:24" x14ac:dyDescent="0.2">
      <c r="A63" s="15" t="s">
        <v>127</v>
      </c>
      <c r="B63" s="15">
        <v>2002</v>
      </c>
      <c r="C63" t="s">
        <v>1425</v>
      </c>
      <c r="D63" t="s">
        <v>1425</v>
      </c>
      <c r="E63" t="s">
        <v>1425</v>
      </c>
      <c r="F63" t="s">
        <v>1425</v>
      </c>
      <c r="G63" t="s">
        <v>1425</v>
      </c>
      <c r="H63" t="s">
        <v>1425</v>
      </c>
      <c r="I63" t="s">
        <v>1425</v>
      </c>
      <c r="J63" t="s">
        <v>1425</v>
      </c>
      <c r="K63" t="s">
        <v>1425</v>
      </c>
      <c r="L63" t="s">
        <v>1425</v>
      </c>
      <c r="M63" t="s">
        <v>1425</v>
      </c>
      <c r="N63" t="s">
        <v>1425</v>
      </c>
      <c r="O63" t="s">
        <v>1425</v>
      </c>
      <c r="P63" t="s">
        <v>1425</v>
      </c>
      <c r="Q63" t="s">
        <v>1425</v>
      </c>
      <c r="R63" t="s">
        <v>1425</v>
      </c>
      <c r="S63" t="s">
        <v>1425</v>
      </c>
      <c r="T63" t="s">
        <v>1425</v>
      </c>
      <c r="U63" t="s">
        <v>1425</v>
      </c>
      <c r="V63" t="s">
        <v>1425</v>
      </c>
      <c r="W63" t="s">
        <v>1425</v>
      </c>
      <c r="X63" t="s">
        <v>1425</v>
      </c>
    </row>
    <row r="64" spans="1:24" x14ac:dyDescent="0.2">
      <c r="A64" s="30" t="s">
        <v>814</v>
      </c>
      <c r="B64" s="31">
        <v>2010</v>
      </c>
    </row>
    <row r="65" spans="1:24" x14ac:dyDescent="0.2">
      <c r="A65" s="31" t="s">
        <v>814</v>
      </c>
      <c r="B65" s="31">
        <v>2016</v>
      </c>
    </row>
    <row r="66" spans="1:24" x14ac:dyDescent="0.2">
      <c r="A66" s="15" t="s">
        <v>856</v>
      </c>
      <c r="B66" s="15">
        <v>1987</v>
      </c>
    </row>
    <row r="67" spans="1:24" x14ac:dyDescent="0.2">
      <c r="A67" s="15" t="s">
        <v>100</v>
      </c>
      <c r="B67" s="15">
        <v>1998</v>
      </c>
      <c r="C67" t="s">
        <v>1427</v>
      </c>
      <c r="D67" t="s">
        <v>1427</v>
      </c>
      <c r="E67" t="s">
        <v>1427</v>
      </c>
      <c r="F67" t="s">
        <v>1426</v>
      </c>
      <c r="G67" t="s">
        <v>1426</v>
      </c>
      <c r="H67" t="s">
        <v>1427</v>
      </c>
      <c r="I67" t="s">
        <v>1427</v>
      </c>
      <c r="J67" t="s">
        <v>1427</v>
      </c>
      <c r="K67" t="s">
        <v>1427</v>
      </c>
      <c r="L67" t="s">
        <v>1427</v>
      </c>
      <c r="M67" t="s">
        <v>1427</v>
      </c>
      <c r="N67" t="s">
        <v>1427</v>
      </c>
      <c r="O67" t="s">
        <v>1427</v>
      </c>
      <c r="P67" t="s">
        <v>1427</v>
      </c>
      <c r="Q67" t="s">
        <v>1425</v>
      </c>
      <c r="R67" t="s">
        <v>1425</v>
      </c>
      <c r="S67" t="s">
        <v>1426</v>
      </c>
      <c r="T67" t="s">
        <v>1427</v>
      </c>
      <c r="U67" t="s">
        <v>1427</v>
      </c>
      <c r="V67" t="s">
        <v>1427</v>
      </c>
      <c r="W67" t="s">
        <v>1427</v>
      </c>
      <c r="X67" t="s">
        <v>1427</v>
      </c>
    </row>
    <row r="68" spans="1:24" x14ac:dyDescent="0.2">
      <c r="A68" s="31" t="s">
        <v>577</v>
      </c>
      <c r="B68" s="31">
        <v>2000</v>
      </c>
    </row>
    <row r="69" spans="1:24" x14ac:dyDescent="0.2">
      <c r="A69" s="15" t="s">
        <v>269</v>
      </c>
      <c r="B69" s="15">
        <v>2007</v>
      </c>
      <c r="C69" t="s">
        <v>1425</v>
      </c>
      <c r="D69" t="s">
        <v>1425</v>
      </c>
      <c r="E69" t="s">
        <v>1425</v>
      </c>
      <c r="F69" t="s">
        <v>1425</v>
      </c>
      <c r="G69" t="s">
        <v>1425</v>
      </c>
      <c r="H69" t="s">
        <v>1425</v>
      </c>
      <c r="I69" t="s">
        <v>1425</v>
      </c>
      <c r="J69" t="s">
        <v>1425</v>
      </c>
      <c r="K69" t="s">
        <v>1425</v>
      </c>
      <c r="L69" t="s">
        <v>1425</v>
      </c>
      <c r="M69" t="s">
        <v>1425</v>
      </c>
      <c r="N69" t="s">
        <v>1425</v>
      </c>
      <c r="O69" t="s">
        <v>1425</v>
      </c>
      <c r="P69" t="s">
        <v>1425</v>
      </c>
      <c r="Q69" t="s">
        <v>1425</v>
      </c>
      <c r="R69" t="s">
        <v>1425</v>
      </c>
      <c r="S69" t="s">
        <v>1425</v>
      </c>
      <c r="T69" t="s">
        <v>1425</v>
      </c>
      <c r="U69" t="s">
        <v>1425</v>
      </c>
      <c r="V69" t="s">
        <v>1425</v>
      </c>
      <c r="W69" t="s">
        <v>1425</v>
      </c>
      <c r="X69" t="s">
        <v>1425</v>
      </c>
    </row>
    <row r="70" spans="1:24" x14ac:dyDescent="0.2">
      <c r="A70" s="15" t="s">
        <v>269</v>
      </c>
      <c r="B70" s="15">
        <v>2011</v>
      </c>
      <c r="C70" t="s">
        <v>1425</v>
      </c>
      <c r="D70" t="s">
        <v>1425</v>
      </c>
      <c r="E70" t="s">
        <v>1425</v>
      </c>
      <c r="F70" t="s">
        <v>1425</v>
      </c>
      <c r="G70" t="s">
        <v>1425</v>
      </c>
      <c r="H70" t="s">
        <v>1425</v>
      </c>
      <c r="I70" t="s">
        <v>1425</v>
      </c>
      <c r="J70" t="s">
        <v>1425</v>
      </c>
      <c r="K70" t="s">
        <v>1425</v>
      </c>
      <c r="L70" t="s">
        <v>1425</v>
      </c>
      <c r="M70" t="s">
        <v>1425</v>
      </c>
      <c r="N70" t="s">
        <v>1425</v>
      </c>
      <c r="O70" t="s">
        <v>1425</v>
      </c>
      <c r="P70" t="s">
        <v>1425</v>
      </c>
      <c r="Q70" t="s">
        <v>1425</v>
      </c>
      <c r="R70" t="s">
        <v>1425</v>
      </c>
      <c r="S70" t="s">
        <v>1425</v>
      </c>
      <c r="T70" t="s">
        <v>1425</v>
      </c>
      <c r="U70" t="s">
        <v>1425</v>
      </c>
      <c r="V70" t="s">
        <v>1425</v>
      </c>
      <c r="W70" t="s">
        <v>1425</v>
      </c>
      <c r="X70" t="s">
        <v>1425</v>
      </c>
    </row>
    <row r="71" spans="1:24" x14ac:dyDescent="0.2">
      <c r="A71" s="31" t="s">
        <v>269</v>
      </c>
      <c r="B71" s="31">
        <v>2008</v>
      </c>
      <c r="C71" t="s">
        <v>1425</v>
      </c>
      <c r="D71" t="s">
        <v>1425</v>
      </c>
      <c r="E71" t="s">
        <v>1425</v>
      </c>
      <c r="F71" t="s">
        <v>1426</v>
      </c>
      <c r="G71" t="s">
        <v>1426</v>
      </c>
      <c r="H71" t="s">
        <v>1425</v>
      </c>
      <c r="I71" t="s">
        <v>1425</v>
      </c>
      <c r="J71" t="s">
        <v>1425</v>
      </c>
      <c r="K71" t="s">
        <v>1425</v>
      </c>
      <c r="L71" t="s">
        <v>1425</v>
      </c>
      <c r="M71" t="s">
        <v>1425</v>
      </c>
      <c r="N71" t="s">
        <v>1425</v>
      </c>
      <c r="O71" t="s">
        <v>1425</v>
      </c>
      <c r="P71" t="s">
        <v>1425</v>
      </c>
      <c r="Q71" t="s">
        <v>1425</v>
      </c>
      <c r="R71" t="s">
        <v>1425</v>
      </c>
      <c r="S71" t="s">
        <v>1426</v>
      </c>
      <c r="T71" t="s">
        <v>1427</v>
      </c>
      <c r="U71" t="s">
        <v>1427</v>
      </c>
      <c r="V71" t="s">
        <v>1425</v>
      </c>
      <c r="W71" t="s">
        <v>1425</v>
      </c>
      <c r="X71" t="s">
        <v>1425</v>
      </c>
    </row>
    <row r="72" spans="1:24" x14ac:dyDescent="0.2">
      <c r="A72" s="31" t="s">
        <v>295</v>
      </c>
      <c r="B72" s="31">
        <v>1996</v>
      </c>
      <c r="C72" t="s">
        <v>1425</v>
      </c>
      <c r="D72" t="s">
        <v>1425</v>
      </c>
      <c r="E72" t="s">
        <v>1425</v>
      </c>
      <c r="F72" t="s">
        <v>1426</v>
      </c>
      <c r="G72" t="s">
        <v>1425</v>
      </c>
      <c r="H72" t="s">
        <v>1425</v>
      </c>
      <c r="I72" t="s">
        <v>1425</v>
      </c>
      <c r="J72" t="s">
        <v>1425</v>
      </c>
      <c r="K72" t="s">
        <v>1425</v>
      </c>
      <c r="L72" t="s">
        <v>1425</v>
      </c>
      <c r="M72" t="s">
        <v>1425</v>
      </c>
      <c r="N72" t="s">
        <v>1425</v>
      </c>
      <c r="O72" t="s">
        <v>1425</v>
      </c>
      <c r="P72" t="s">
        <v>1425</v>
      </c>
      <c r="Q72" t="s">
        <v>1425</v>
      </c>
      <c r="R72" t="s">
        <v>1425</v>
      </c>
      <c r="S72" t="s">
        <v>1425</v>
      </c>
      <c r="T72" t="s">
        <v>1425</v>
      </c>
      <c r="U72" t="s">
        <v>1425</v>
      </c>
      <c r="V72" t="s">
        <v>1425</v>
      </c>
      <c r="W72" t="s">
        <v>1425</v>
      </c>
      <c r="X72" t="s">
        <v>1425</v>
      </c>
    </row>
    <row r="73" spans="1:24" x14ac:dyDescent="0.2">
      <c r="A73" s="31" t="s">
        <v>128</v>
      </c>
      <c r="B73" s="31">
        <v>2001</v>
      </c>
      <c r="C73" t="s">
        <v>1425</v>
      </c>
      <c r="D73" t="s">
        <v>1425</v>
      </c>
      <c r="E73" t="s">
        <v>1425</v>
      </c>
      <c r="F73" t="s">
        <v>1425</v>
      </c>
      <c r="G73" t="s">
        <v>1425</v>
      </c>
      <c r="H73" t="s">
        <v>1425</v>
      </c>
      <c r="I73" t="s">
        <v>1425</v>
      </c>
      <c r="J73" t="s">
        <v>1425</v>
      </c>
      <c r="K73" t="s">
        <v>1426</v>
      </c>
      <c r="L73" t="s">
        <v>1427</v>
      </c>
      <c r="M73" t="s">
        <v>1425</v>
      </c>
      <c r="N73" t="s">
        <v>1427</v>
      </c>
      <c r="O73" t="s">
        <v>1427</v>
      </c>
      <c r="P73" t="s">
        <v>1427</v>
      </c>
      <c r="Q73" t="s">
        <v>1425</v>
      </c>
      <c r="R73" t="s">
        <v>1425</v>
      </c>
      <c r="S73" t="s">
        <v>1425</v>
      </c>
      <c r="T73" t="s">
        <v>1425</v>
      </c>
      <c r="U73" t="s">
        <v>1425</v>
      </c>
      <c r="V73" t="s">
        <v>1427</v>
      </c>
      <c r="W73" t="s">
        <v>1425</v>
      </c>
      <c r="X73" t="s">
        <v>1427</v>
      </c>
    </row>
    <row r="74" spans="1:24" x14ac:dyDescent="0.2">
      <c r="A74" s="30" t="s">
        <v>811</v>
      </c>
      <c r="B74" s="31">
        <v>2008</v>
      </c>
    </row>
    <row r="75" spans="1:24" x14ac:dyDescent="0.2">
      <c r="A75" s="15" t="s">
        <v>1001</v>
      </c>
      <c r="B75" s="15">
        <v>2004</v>
      </c>
      <c r="C75" t="s">
        <v>1425</v>
      </c>
      <c r="D75" t="s">
        <v>1425</v>
      </c>
      <c r="E75" t="s">
        <v>1425</v>
      </c>
      <c r="F75" t="s">
        <v>1425</v>
      </c>
      <c r="G75" t="s">
        <v>1425</v>
      </c>
      <c r="H75" t="s">
        <v>1425</v>
      </c>
      <c r="I75" t="s">
        <v>1425</v>
      </c>
      <c r="J75" t="s">
        <v>1425</v>
      </c>
      <c r="K75" t="s">
        <v>1425</v>
      </c>
      <c r="L75" t="s">
        <v>1425</v>
      </c>
      <c r="M75" t="s">
        <v>1425</v>
      </c>
      <c r="N75" t="s">
        <v>1425</v>
      </c>
      <c r="O75" t="s">
        <v>1425</v>
      </c>
      <c r="P75" t="s">
        <v>1425</v>
      </c>
      <c r="Q75" t="s">
        <v>1425</v>
      </c>
      <c r="R75" t="s">
        <v>1425</v>
      </c>
      <c r="S75" t="s">
        <v>1425</v>
      </c>
      <c r="T75" t="s">
        <v>1425</v>
      </c>
      <c r="U75" t="s">
        <v>1425</v>
      </c>
      <c r="V75" t="s">
        <v>1425</v>
      </c>
      <c r="W75" t="s">
        <v>1425</v>
      </c>
      <c r="X75" t="s">
        <v>1425</v>
      </c>
    </row>
    <row r="76" spans="1:24" x14ac:dyDescent="0.2">
      <c r="A76" s="31" t="s">
        <v>816</v>
      </c>
      <c r="B76" s="31">
        <v>2018</v>
      </c>
      <c r="C76" t="s">
        <v>1425</v>
      </c>
      <c r="D76" t="s">
        <v>1427</v>
      </c>
      <c r="E76" t="s">
        <v>1425</v>
      </c>
      <c r="F76" t="s">
        <v>1426</v>
      </c>
      <c r="G76" t="s">
        <v>1426</v>
      </c>
      <c r="H76" t="s">
        <v>1425</v>
      </c>
      <c r="I76" t="s">
        <v>1425</v>
      </c>
      <c r="J76" t="s">
        <v>1425</v>
      </c>
      <c r="K76" t="s">
        <v>1425</v>
      </c>
      <c r="L76" t="s">
        <v>1425</v>
      </c>
      <c r="M76" t="s">
        <v>1425</v>
      </c>
      <c r="N76" t="s">
        <v>1425</v>
      </c>
      <c r="O76" t="s">
        <v>1425</v>
      </c>
      <c r="P76" t="s">
        <v>1425</v>
      </c>
      <c r="Q76" t="s">
        <v>1425</v>
      </c>
      <c r="R76" t="s">
        <v>1425</v>
      </c>
      <c r="S76" t="s">
        <v>1426</v>
      </c>
      <c r="T76" t="s">
        <v>1427</v>
      </c>
      <c r="U76" t="s">
        <v>1427</v>
      </c>
      <c r="V76" t="s">
        <v>1427</v>
      </c>
      <c r="W76" t="s">
        <v>1425</v>
      </c>
      <c r="X76" t="s">
        <v>1427</v>
      </c>
    </row>
    <row r="77" spans="1:24" x14ac:dyDescent="0.2">
      <c r="A77" s="15" t="s">
        <v>217</v>
      </c>
      <c r="B77" s="15">
        <v>2003</v>
      </c>
      <c r="C77" t="s">
        <v>1425</v>
      </c>
      <c r="D77" t="s">
        <v>1425</v>
      </c>
      <c r="E77" t="s">
        <v>1425</v>
      </c>
      <c r="F77" t="s">
        <v>1425</v>
      </c>
      <c r="G77" t="s">
        <v>1425</v>
      </c>
      <c r="H77" t="s">
        <v>1425</v>
      </c>
      <c r="I77" t="s">
        <v>1425</v>
      </c>
      <c r="J77" t="s">
        <v>1425</v>
      </c>
      <c r="K77" t="s">
        <v>1425</v>
      </c>
      <c r="L77" t="s">
        <v>1425</v>
      </c>
      <c r="M77" t="s">
        <v>1425</v>
      </c>
      <c r="N77" t="s">
        <v>1425</v>
      </c>
      <c r="O77" t="s">
        <v>1425</v>
      </c>
      <c r="P77" t="s">
        <v>1425</v>
      </c>
      <c r="Q77" t="s">
        <v>1425</v>
      </c>
      <c r="R77" t="s">
        <v>1425</v>
      </c>
      <c r="S77" t="s">
        <v>1425</v>
      </c>
      <c r="T77" t="s">
        <v>1425</v>
      </c>
      <c r="U77" t="s">
        <v>1425</v>
      </c>
      <c r="V77" t="s">
        <v>1425</v>
      </c>
      <c r="W77" t="s">
        <v>1425</v>
      </c>
      <c r="X77" t="s">
        <v>1425</v>
      </c>
    </row>
    <row r="78" spans="1:24" x14ac:dyDescent="0.2">
      <c r="A78" s="31" t="s">
        <v>304</v>
      </c>
      <c r="B78" s="31">
        <v>2020</v>
      </c>
      <c r="C78" t="s">
        <v>1425</v>
      </c>
      <c r="D78" t="s">
        <v>1425</v>
      </c>
      <c r="E78" t="s">
        <v>1425</v>
      </c>
      <c r="F78" t="s">
        <v>1425</v>
      </c>
      <c r="G78" t="s">
        <v>1425</v>
      </c>
      <c r="H78" t="s">
        <v>1425</v>
      </c>
      <c r="I78" t="s">
        <v>1425</v>
      </c>
      <c r="J78" t="s">
        <v>1425</v>
      </c>
      <c r="K78" t="s">
        <v>1425</v>
      </c>
      <c r="L78" t="s">
        <v>1425</v>
      </c>
      <c r="M78" t="s">
        <v>1425</v>
      </c>
      <c r="N78" t="s">
        <v>1425</v>
      </c>
      <c r="O78" t="s">
        <v>1425</v>
      </c>
      <c r="P78" t="s">
        <v>1425</v>
      </c>
      <c r="Q78" t="s">
        <v>1425</v>
      </c>
      <c r="R78" t="s">
        <v>1425</v>
      </c>
      <c r="S78" t="s">
        <v>1425</v>
      </c>
      <c r="T78" t="s">
        <v>1425</v>
      </c>
      <c r="U78" t="s">
        <v>1425</v>
      </c>
      <c r="V78" t="s">
        <v>1425</v>
      </c>
      <c r="W78" t="s">
        <v>1425</v>
      </c>
      <c r="X78" t="s">
        <v>1425</v>
      </c>
    </row>
    <row r="79" spans="1:24" x14ac:dyDescent="0.2">
      <c r="A79" s="31" t="s">
        <v>280</v>
      </c>
      <c r="B79" s="31">
        <v>1989</v>
      </c>
      <c r="C79" t="s">
        <v>1425</v>
      </c>
      <c r="D79" t="s">
        <v>1427</v>
      </c>
      <c r="E79" t="s">
        <v>1426</v>
      </c>
      <c r="F79" t="s">
        <v>1426</v>
      </c>
      <c r="G79" t="s">
        <v>1426</v>
      </c>
      <c r="H79" t="s">
        <v>1427</v>
      </c>
      <c r="I79" t="s">
        <v>1427</v>
      </c>
      <c r="J79" t="s">
        <v>1427</v>
      </c>
      <c r="K79" t="s">
        <v>1427</v>
      </c>
      <c r="L79" t="s">
        <v>1427</v>
      </c>
      <c r="M79" t="s">
        <v>1427</v>
      </c>
      <c r="N79" t="s">
        <v>1427</v>
      </c>
      <c r="O79" t="s">
        <v>1427</v>
      </c>
      <c r="P79" t="s">
        <v>1427</v>
      </c>
      <c r="Q79" t="s">
        <v>1425</v>
      </c>
      <c r="R79" t="s">
        <v>1425</v>
      </c>
      <c r="S79" t="s">
        <v>1426</v>
      </c>
      <c r="T79" t="s">
        <v>1427</v>
      </c>
      <c r="U79" t="s">
        <v>1427</v>
      </c>
      <c r="V79" t="s">
        <v>1427</v>
      </c>
      <c r="W79" t="s">
        <v>1427</v>
      </c>
      <c r="X79" t="s">
        <v>1427</v>
      </c>
    </row>
    <row r="80" spans="1:24" x14ac:dyDescent="0.2">
      <c r="A80" s="31" t="s">
        <v>1022</v>
      </c>
      <c r="B80" s="31">
        <v>2022</v>
      </c>
      <c r="C80" t="s">
        <v>1425</v>
      </c>
      <c r="D80" t="s">
        <v>1425</v>
      </c>
      <c r="E80" t="s">
        <v>1425</v>
      </c>
      <c r="F80" t="s">
        <v>1425</v>
      </c>
      <c r="G80" t="s">
        <v>1425</v>
      </c>
      <c r="H80" t="s">
        <v>1425</v>
      </c>
      <c r="I80" t="s">
        <v>1425</v>
      </c>
      <c r="J80" t="s">
        <v>1425</v>
      </c>
      <c r="K80" t="s">
        <v>1425</v>
      </c>
      <c r="L80" t="s">
        <v>1425</v>
      </c>
      <c r="M80" t="s">
        <v>1425</v>
      </c>
      <c r="N80" t="s">
        <v>1425</v>
      </c>
      <c r="O80" t="s">
        <v>1425</v>
      </c>
      <c r="P80" t="s">
        <v>1425</v>
      </c>
      <c r="Q80" t="s">
        <v>1425</v>
      </c>
      <c r="R80" t="s">
        <v>1425</v>
      </c>
      <c r="S80" t="s">
        <v>1425</v>
      </c>
      <c r="T80" t="s">
        <v>1425</v>
      </c>
      <c r="U80" t="s">
        <v>1425</v>
      </c>
      <c r="V80" t="s">
        <v>1425</v>
      </c>
      <c r="W80" t="s">
        <v>1425</v>
      </c>
      <c r="X80" t="s">
        <v>1425</v>
      </c>
    </row>
    <row r="81" spans="1:24" x14ac:dyDescent="0.2">
      <c r="A81" s="31" t="s">
        <v>65</v>
      </c>
      <c r="B81" s="31">
        <v>1991</v>
      </c>
      <c r="C81" t="s">
        <v>1425</v>
      </c>
      <c r="D81" t="s">
        <v>1427</v>
      </c>
      <c r="E81" t="s">
        <v>1425</v>
      </c>
      <c r="F81" t="s">
        <v>1425</v>
      </c>
      <c r="G81" t="s">
        <v>1425</v>
      </c>
      <c r="H81" t="s">
        <v>1425</v>
      </c>
      <c r="I81" t="s">
        <v>1425</v>
      </c>
      <c r="J81" t="s">
        <v>1425</v>
      </c>
      <c r="K81" t="s">
        <v>1426</v>
      </c>
      <c r="L81" t="s">
        <v>1427</v>
      </c>
      <c r="M81" t="s">
        <v>1426</v>
      </c>
      <c r="N81" t="s">
        <v>1427</v>
      </c>
      <c r="O81" t="s">
        <v>1427</v>
      </c>
      <c r="P81" t="s">
        <v>1427</v>
      </c>
      <c r="Q81" t="s">
        <v>1425</v>
      </c>
      <c r="R81" t="s">
        <v>1425</v>
      </c>
      <c r="S81" t="s">
        <v>1425</v>
      </c>
      <c r="T81" t="s">
        <v>1425</v>
      </c>
      <c r="U81" t="s">
        <v>1425</v>
      </c>
      <c r="V81" t="s">
        <v>1427</v>
      </c>
      <c r="W81" t="s">
        <v>1425</v>
      </c>
      <c r="X81" t="s">
        <v>1427</v>
      </c>
    </row>
    <row r="82" spans="1:24" x14ac:dyDescent="0.2">
      <c r="A82" s="31" t="s">
        <v>89</v>
      </c>
      <c r="B82" s="31">
        <v>2011</v>
      </c>
      <c r="C82" t="s">
        <v>1425</v>
      </c>
      <c r="D82" t="s">
        <v>1425</v>
      </c>
      <c r="E82" t="s">
        <v>1425</v>
      </c>
      <c r="F82" t="s">
        <v>1425</v>
      </c>
      <c r="G82" t="s">
        <v>1425</v>
      </c>
      <c r="H82" t="s">
        <v>1425</v>
      </c>
      <c r="I82" t="s">
        <v>1425</v>
      </c>
      <c r="J82" t="s">
        <v>1425</v>
      </c>
      <c r="K82" t="s">
        <v>1425</v>
      </c>
      <c r="L82" t="s">
        <v>1425</v>
      </c>
      <c r="M82" t="s">
        <v>1425</v>
      </c>
      <c r="N82" t="s">
        <v>1425</v>
      </c>
      <c r="O82" t="s">
        <v>1425</v>
      </c>
      <c r="P82" t="s">
        <v>1425</v>
      </c>
      <c r="Q82" t="s">
        <v>1425</v>
      </c>
      <c r="R82" t="s">
        <v>1425</v>
      </c>
      <c r="S82" t="s">
        <v>1425</v>
      </c>
      <c r="T82" t="s">
        <v>1425</v>
      </c>
      <c r="U82" t="s">
        <v>1425</v>
      </c>
      <c r="V82" t="s">
        <v>1425</v>
      </c>
      <c r="W82" t="s">
        <v>1425</v>
      </c>
      <c r="X82" t="s">
        <v>1425</v>
      </c>
    </row>
    <row r="83" spans="1:24" x14ac:dyDescent="0.2">
      <c r="A83" s="15" t="s">
        <v>69</v>
      </c>
      <c r="B83" s="15">
        <v>2005</v>
      </c>
      <c r="C83" t="s">
        <v>1425</v>
      </c>
      <c r="D83" t="s">
        <v>1427</v>
      </c>
      <c r="E83" t="s">
        <v>1425</v>
      </c>
      <c r="F83" t="s">
        <v>1426</v>
      </c>
      <c r="G83" t="s">
        <v>1426</v>
      </c>
      <c r="H83" t="s">
        <v>1427</v>
      </c>
      <c r="I83" t="s">
        <v>1427</v>
      </c>
      <c r="J83" t="s">
        <v>1427</v>
      </c>
      <c r="K83" t="s">
        <v>1426</v>
      </c>
      <c r="L83" t="s">
        <v>1427</v>
      </c>
      <c r="M83" t="s">
        <v>1426</v>
      </c>
      <c r="N83" t="s">
        <v>1427</v>
      </c>
      <c r="O83" t="s">
        <v>1427</v>
      </c>
      <c r="P83" t="s">
        <v>1427</v>
      </c>
      <c r="Q83" t="s">
        <v>1425</v>
      </c>
      <c r="R83" t="s">
        <v>1425</v>
      </c>
      <c r="S83" t="s">
        <v>1426</v>
      </c>
      <c r="T83" t="s">
        <v>1426</v>
      </c>
      <c r="U83" t="s">
        <v>1427</v>
      </c>
      <c r="V83" t="s">
        <v>1427</v>
      </c>
      <c r="W83" t="s">
        <v>1425</v>
      </c>
      <c r="X83" t="s">
        <v>1427</v>
      </c>
    </row>
    <row r="84" spans="1:24" x14ac:dyDescent="0.2">
      <c r="A84" s="31" t="s">
        <v>159</v>
      </c>
      <c r="B84" s="31">
        <v>2012</v>
      </c>
      <c r="C84" t="s">
        <v>1425</v>
      </c>
      <c r="D84" t="s">
        <v>1427</v>
      </c>
      <c r="E84" t="s">
        <v>1425</v>
      </c>
      <c r="F84" t="s">
        <v>1426</v>
      </c>
      <c r="G84" t="s">
        <v>1426</v>
      </c>
      <c r="H84" t="s">
        <v>1427</v>
      </c>
      <c r="I84" t="s">
        <v>1427</v>
      </c>
      <c r="J84" t="s">
        <v>1427</v>
      </c>
      <c r="K84" t="s">
        <v>1427</v>
      </c>
      <c r="L84" t="s">
        <v>1427</v>
      </c>
      <c r="M84" t="s">
        <v>1427</v>
      </c>
      <c r="N84" t="s">
        <v>1427</v>
      </c>
      <c r="O84" t="s">
        <v>1427</v>
      </c>
      <c r="P84" t="s">
        <v>1427</v>
      </c>
      <c r="Q84" t="s">
        <v>1425</v>
      </c>
      <c r="R84" t="s">
        <v>1425</v>
      </c>
      <c r="S84" t="s">
        <v>1426</v>
      </c>
      <c r="T84" t="s">
        <v>1426</v>
      </c>
      <c r="U84" t="s">
        <v>1427</v>
      </c>
      <c r="V84" t="s">
        <v>1427</v>
      </c>
      <c r="W84" t="s">
        <v>1425</v>
      </c>
      <c r="X84" t="s">
        <v>1427</v>
      </c>
    </row>
    <row r="85" spans="1:24" x14ac:dyDescent="0.2">
      <c r="A85" s="15" t="s">
        <v>74</v>
      </c>
      <c r="B85" s="15">
        <v>2002</v>
      </c>
      <c r="C85" t="s">
        <v>1425</v>
      </c>
      <c r="D85" t="s">
        <v>1425</v>
      </c>
      <c r="E85" t="s">
        <v>1425</v>
      </c>
      <c r="F85" t="s">
        <v>1425</v>
      </c>
      <c r="G85" t="s">
        <v>1425</v>
      </c>
      <c r="H85" t="s">
        <v>1425</v>
      </c>
      <c r="I85" t="s">
        <v>1425</v>
      </c>
      <c r="J85" t="s">
        <v>1425</v>
      </c>
      <c r="K85" t="s">
        <v>1425</v>
      </c>
      <c r="L85" t="s">
        <v>1425</v>
      </c>
      <c r="M85" t="s">
        <v>1425</v>
      </c>
      <c r="N85" t="s">
        <v>1425</v>
      </c>
      <c r="O85" t="s">
        <v>1425</v>
      </c>
      <c r="P85" t="s">
        <v>1425</v>
      </c>
      <c r="Q85" t="s">
        <v>1425</v>
      </c>
      <c r="R85" t="s">
        <v>1425</v>
      </c>
      <c r="S85" t="s">
        <v>1425</v>
      </c>
      <c r="T85" t="s">
        <v>1425</v>
      </c>
      <c r="U85" t="s">
        <v>1425</v>
      </c>
      <c r="V85" t="s">
        <v>1425</v>
      </c>
      <c r="W85" t="s">
        <v>1425</v>
      </c>
      <c r="X85" t="s">
        <v>1425</v>
      </c>
    </row>
    <row r="86" spans="1:24" x14ac:dyDescent="0.2">
      <c r="A86" s="31" t="s">
        <v>74</v>
      </c>
      <c r="B86" s="31">
        <v>2004</v>
      </c>
      <c r="C86" t="s">
        <v>1425</v>
      </c>
      <c r="D86" t="s">
        <v>1425</v>
      </c>
      <c r="E86" t="s">
        <v>1425</v>
      </c>
      <c r="F86" t="s">
        <v>1425</v>
      </c>
      <c r="G86" t="s">
        <v>1425</v>
      </c>
      <c r="H86" t="s">
        <v>1425</v>
      </c>
      <c r="I86" t="s">
        <v>1425</v>
      </c>
      <c r="J86" t="s">
        <v>1425</v>
      </c>
      <c r="K86" t="s">
        <v>1425</v>
      </c>
      <c r="L86" t="s">
        <v>1425</v>
      </c>
      <c r="M86" t="s">
        <v>1425</v>
      </c>
      <c r="N86" t="s">
        <v>1425</v>
      </c>
      <c r="O86" t="s">
        <v>1425</v>
      </c>
      <c r="P86" t="s">
        <v>1425</v>
      </c>
      <c r="Q86" t="s">
        <v>1425</v>
      </c>
      <c r="R86" t="s">
        <v>1425</v>
      </c>
      <c r="S86" t="s">
        <v>1425</v>
      </c>
      <c r="T86" t="s">
        <v>1425</v>
      </c>
      <c r="U86" t="s">
        <v>1425</v>
      </c>
      <c r="V86" t="s">
        <v>1425</v>
      </c>
      <c r="W86" t="s">
        <v>1425</v>
      </c>
      <c r="X86" t="s">
        <v>1425</v>
      </c>
    </row>
    <row r="87" spans="1:24" x14ac:dyDescent="0.2">
      <c r="A87" s="31" t="s">
        <v>1382</v>
      </c>
      <c r="B87" s="31">
        <v>1983</v>
      </c>
      <c r="C87" t="s">
        <v>1425</v>
      </c>
      <c r="D87" t="s">
        <v>1425</v>
      </c>
      <c r="E87" t="s">
        <v>1425</v>
      </c>
      <c r="F87" t="s">
        <v>1425</v>
      </c>
      <c r="G87" t="s">
        <v>1425</v>
      </c>
      <c r="H87" t="s">
        <v>1425</v>
      </c>
      <c r="I87" t="s">
        <v>1425</v>
      </c>
      <c r="J87" t="s">
        <v>1425</v>
      </c>
      <c r="K87" t="s">
        <v>1426</v>
      </c>
      <c r="L87" t="s">
        <v>1427</v>
      </c>
      <c r="M87" t="s">
        <v>1426</v>
      </c>
      <c r="N87" t="s">
        <v>1427</v>
      </c>
      <c r="O87" t="s">
        <v>1427</v>
      </c>
      <c r="P87" t="s">
        <v>1427</v>
      </c>
      <c r="Q87" t="s">
        <v>1425</v>
      </c>
      <c r="R87" t="s">
        <v>1425</v>
      </c>
      <c r="S87" t="s">
        <v>1425</v>
      </c>
      <c r="T87" t="s">
        <v>1425</v>
      </c>
      <c r="U87" t="s">
        <v>1425</v>
      </c>
      <c r="V87" t="s">
        <v>1427</v>
      </c>
      <c r="W87" t="s">
        <v>1425</v>
      </c>
      <c r="X87" t="s">
        <v>1427</v>
      </c>
    </row>
    <row r="88" spans="1:24" x14ac:dyDescent="0.2">
      <c r="A88" s="30" t="s">
        <v>812</v>
      </c>
      <c r="B88" s="31">
        <v>2009</v>
      </c>
    </row>
    <row r="89" spans="1:24" x14ac:dyDescent="0.2">
      <c r="A89" s="31" t="s">
        <v>812</v>
      </c>
      <c r="B89" s="31">
        <v>2011</v>
      </c>
    </row>
    <row r="90" spans="1:24" x14ac:dyDescent="0.2">
      <c r="A90" s="31" t="s">
        <v>812</v>
      </c>
      <c r="B90" s="31">
        <v>2019</v>
      </c>
    </row>
    <row r="91" spans="1:24" x14ac:dyDescent="0.2">
      <c r="A91" s="31" t="s">
        <v>812</v>
      </c>
      <c r="B91" s="31">
        <v>2021</v>
      </c>
      <c r="C91" t="s">
        <v>1425</v>
      </c>
      <c r="D91" t="s">
        <v>1425</v>
      </c>
      <c r="E91" t="s">
        <v>1425</v>
      </c>
      <c r="F91" t="s">
        <v>1426</v>
      </c>
      <c r="G91" t="s">
        <v>1426</v>
      </c>
      <c r="H91" t="s">
        <v>1425</v>
      </c>
      <c r="I91" t="s">
        <v>1425</v>
      </c>
      <c r="J91" t="s">
        <v>1425</v>
      </c>
      <c r="K91" t="s">
        <v>1425</v>
      </c>
      <c r="L91" t="s">
        <v>1425</v>
      </c>
      <c r="M91" t="s">
        <v>1425</v>
      </c>
      <c r="N91" t="s">
        <v>1425</v>
      </c>
      <c r="O91" t="s">
        <v>1427</v>
      </c>
      <c r="P91" t="s">
        <v>1427</v>
      </c>
      <c r="Q91" t="s">
        <v>1425</v>
      </c>
      <c r="R91" t="s">
        <v>1425</v>
      </c>
      <c r="S91" t="s">
        <v>1426</v>
      </c>
      <c r="T91" t="s">
        <v>1427</v>
      </c>
      <c r="U91" t="s">
        <v>1427</v>
      </c>
      <c r="V91" t="s">
        <v>1425</v>
      </c>
      <c r="W91" t="s">
        <v>1425</v>
      </c>
      <c r="X91" t="s">
        <v>1425</v>
      </c>
    </row>
    <row r="92" spans="1:24" x14ac:dyDescent="0.2">
      <c r="A92" s="31" t="s">
        <v>812</v>
      </c>
      <c r="B92" s="31">
        <v>2024</v>
      </c>
      <c r="C92" t="s">
        <v>1425</v>
      </c>
      <c r="D92" t="s">
        <v>1425</v>
      </c>
      <c r="E92" t="s">
        <v>1425</v>
      </c>
      <c r="F92" t="s">
        <v>1425</v>
      </c>
      <c r="G92" t="s">
        <v>1425</v>
      </c>
      <c r="H92" t="s">
        <v>1425</v>
      </c>
      <c r="I92" t="s">
        <v>1425</v>
      </c>
      <c r="J92" t="s">
        <v>1425</v>
      </c>
      <c r="K92" t="s">
        <v>1425</v>
      </c>
      <c r="L92" t="s">
        <v>1425</v>
      </c>
      <c r="M92" t="s">
        <v>1425</v>
      </c>
      <c r="N92" t="s">
        <v>1425</v>
      </c>
      <c r="O92" t="s">
        <v>1425</v>
      </c>
      <c r="P92" t="s">
        <v>1425</v>
      </c>
      <c r="Q92" t="s">
        <v>1425</v>
      </c>
      <c r="R92" t="s">
        <v>1425</v>
      </c>
      <c r="S92" t="s">
        <v>1425</v>
      </c>
      <c r="T92" t="s">
        <v>1425</v>
      </c>
      <c r="U92" t="s">
        <v>1425</v>
      </c>
      <c r="V92" t="s">
        <v>1425</v>
      </c>
      <c r="W92" t="s">
        <v>1425</v>
      </c>
      <c r="X92" t="s">
        <v>1425</v>
      </c>
    </row>
    <row r="93" spans="1:24" x14ac:dyDescent="0.2">
      <c r="A93" s="15" t="s">
        <v>161</v>
      </c>
      <c r="B93" s="15">
        <v>2007</v>
      </c>
      <c r="C93" t="s">
        <v>1425</v>
      </c>
      <c r="D93" t="s">
        <v>1426</v>
      </c>
      <c r="E93" t="s">
        <v>1425</v>
      </c>
      <c r="F93" t="s">
        <v>1426</v>
      </c>
      <c r="G93" t="s">
        <v>1426</v>
      </c>
      <c r="H93" t="s">
        <v>1427</v>
      </c>
      <c r="I93" t="s">
        <v>1427</v>
      </c>
      <c r="J93" t="s">
        <v>1425</v>
      </c>
      <c r="K93" t="s">
        <v>1425</v>
      </c>
      <c r="L93" t="s">
        <v>1425</v>
      </c>
      <c r="M93" t="s">
        <v>1427</v>
      </c>
      <c r="N93" t="s">
        <v>1427</v>
      </c>
      <c r="O93" t="s">
        <v>1427</v>
      </c>
      <c r="P93" t="s">
        <v>1427</v>
      </c>
      <c r="Q93" t="s">
        <v>1425</v>
      </c>
      <c r="R93" t="s">
        <v>1425</v>
      </c>
      <c r="S93" t="s">
        <v>1426</v>
      </c>
      <c r="T93" t="s">
        <v>1427</v>
      </c>
      <c r="U93" t="s">
        <v>1427</v>
      </c>
      <c r="V93" t="s">
        <v>1427</v>
      </c>
      <c r="W93" t="s">
        <v>1425</v>
      </c>
      <c r="X93" t="s">
        <v>1427</v>
      </c>
    </row>
    <row r="94" spans="1:24" x14ac:dyDescent="0.2">
      <c r="A94" s="31" t="s">
        <v>161</v>
      </c>
      <c r="B94" s="31">
        <v>2020</v>
      </c>
    </row>
    <row r="95" spans="1:24" x14ac:dyDescent="0.2">
      <c r="A95" s="15" t="s">
        <v>668</v>
      </c>
      <c r="B95" s="15">
        <v>2017</v>
      </c>
      <c r="C95" t="s">
        <v>1425</v>
      </c>
      <c r="D95" t="s">
        <v>1425</v>
      </c>
      <c r="E95" t="s">
        <v>1425</v>
      </c>
      <c r="F95" t="s">
        <v>1425</v>
      </c>
      <c r="G95" t="s">
        <v>1425</v>
      </c>
      <c r="H95" t="s">
        <v>1425</v>
      </c>
      <c r="I95" t="s">
        <v>1425</v>
      </c>
      <c r="J95" t="s">
        <v>1425</v>
      </c>
      <c r="K95" t="s">
        <v>1427</v>
      </c>
      <c r="L95" t="s">
        <v>1427</v>
      </c>
      <c r="M95" t="s">
        <v>1427</v>
      </c>
      <c r="N95" t="s">
        <v>1427</v>
      </c>
      <c r="O95" t="s">
        <v>1427</v>
      </c>
      <c r="P95" t="s">
        <v>1427</v>
      </c>
      <c r="Q95" t="s">
        <v>1425</v>
      </c>
      <c r="R95" t="s">
        <v>1425</v>
      </c>
      <c r="S95" t="s">
        <v>1425</v>
      </c>
      <c r="T95" t="s">
        <v>1425</v>
      </c>
      <c r="U95" t="s">
        <v>1425</v>
      </c>
      <c r="V95" t="s">
        <v>1425</v>
      </c>
      <c r="W95" t="s">
        <v>1425</v>
      </c>
      <c r="X95" t="s">
        <v>1427</v>
      </c>
    </row>
    <row r="96" spans="1:24" x14ac:dyDescent="0.2">
      <c r="A96" s="30" t="s">
        <v>668</v>
      </c>
      <c r="B96" s="31">
        <v>2010</v>
      </c>
    </row>
    <row r="97" spans="1:24" x14ac:dyDescent="0.2">
      <c r="A97" s="31" t="s">
        <v>668</v>
      </c>
      <c r="B97" s="31">
        <v>2012</v>
      </c>
    </row>
    <row r="98" spans="1:24" x14ac:dyDescent="0.2">
      <c r="A98" s="31" t="s">
        <v>129</v>
      </c>
      <c r="B98" s="31">
        <v>2019</v>
      </c>
      <c r="C98" t="s">
        <v>1425</v>
      </c>
      <c r="D98" t="s">
        <v>1425</v>
      </c>
      <c r="E98" t="s">
        <v>1425</v>
      </c>
      <c r="F98" t="s">
        <v>1425</v>
      </c>
      <c r="G98" t="s">
        <v>1425</v>
      </c>
      <c r="H98" t="s">
        <v>1425</v>
      </c>
      <c r="I98" t="s">
        <v>1425</v>
      </c>
      <c r="J98" t="s">
        <v>1425</v>
      </c>
      <c r="K98" t="s">
        <v>1425</v>
      </c>
      <c r="L98" t="s">
        <v>1425</v>
      </c>
      <c r="M98" t="s">
        <v>1425</v>
      </c>
      <c r="N98" t="s">
        <v>1425</v>
      </c>
      <c r="O98" t="s">
        <v>1425</v>
      </c>
      <c r="P98" t="s">
        <v>1425</v>
      </c>
      <c r="Q98" t="s">
        <v>1425</v>
      </c>
      <c r="R98" t="s">
        <v>1425</v>
      </c>
      <c r="S98" t="s">
        <v>1425</v>
      </c>
      <c r="T98" t="s">
        <v>1425</v>
      </c>
      <c r="U98" t="s">
        <v>1425</v>
      </c>
      <c r="V98" t="s">
        <v>1425</v>
      </c>
      <c r="W98" t="s">
        <v>1425</v>
      </c>
      <c r="X98" t="s">
        <v>1427</v>
      </c>
    </row>
    <row r="99" spans="1:24" x14ac:dyDescent="0.2">
      <c r="A99" s="15" t="s">
        <v>203</v>
      </c>
      <c r="B99" s="15">
        <v>2004</v>
      </c>
      <c r="C99" t="s">
        <v>1425</v>
      </c>
      <c r="D99" t="s">
        <v>1425</v>
      </c>
      <c r="E99" t="s">
        <v>1425</v>
      </c>
      <c r="F99" t="s">
        <v>1425</v>
      </c>
      <c r="G99" t="s">
        <v>1425</v>
      </c>
      <c r="H99" t="s">
        <v>1425</v>
      </c>
      <c r="I99" t="s">
        <v>1425</v>
      </c>
      <c r="J99" t="s">
        <v>1425</v>
      </c>
      <c r="K99" t="s">
        <v>1427</v>
      </c>
      <c r="L99" t="s">
        <v>1427</v>
      </c>
      <c r="M99" t="s">
        <v>1425</v>
      </c>
      <c r="N99" t="s">
        <v>1425</v>
      </c>
      <c r="O99" t="s">
        <v>1425</v>
      </c>
      <c r="P99" t="s">
        <v>1425</v>
      </c>
      <c r="Q99" t="s">
        <v>1425</v>
      </c>
      <c r="R99" t="s">
        <v>1425</v>
      </c>
      <c r="S99" t="s">
        <v>1425</v>
      </c>
      <c r="T99" t="s">
        <v>1425</v>
      </c>
      <c r="U99" t="s">
        <v>1425</v>
      </c>
      <c r="V99" t="s">
        <v>1427</v>
      </c>
      <c r="W99" t="s">
        <v>1425</v>
      </c>
      <c r="X99" t="s">
        <v>1427</v>
      </c>
    </row>
    <row r="100" spans="1:24" x14ac:dyDescent="0.2">
      <c r="A100" s="31" t="s">
        <v>203</v>
      </c>
      <c r="B100" s="31">
        <v>1995</v>
      </c>
      <c r="C100" t="s">
        <v>1425</v>
      </c>
      <c r="D100" t="s">
        <v>1425</v>
      </c>
      <c r="E100" t="s">
        <v>1425</v>
      </c>
      <c r="F100" t="s">
        <v>1425</v>
      </c>
      <c r="G100" t="s">
        <v>1425</v>
      </c>
      <c r="H100" t="s">
        <v>1425</v>
      </c>
      <c r="I100" t="s">
        <v>1425</v>
      </c>
      <c r="J100" t="s">
        <v>1425</v>
      </c>
      <c r="K100" t="s">
        <v>1425</v>
      </c>
      <c r="L100" t="s">
        <v>1425</v>
      </c>
      <c r="M100" t="s">
        <v>1425</v>
      </c>
      <c r="N100" t="s">
        <v>1425</v>
      </c>
      <c r="O100" t="s">
        <v>1425</v>
      </c>
      <c r="P100" t="s">
        <v>1425</v>
      </c>
      <c r="Q100" t="s">
        <v>1425</v>
      </c>
      <c r="R100" t="s">
        <v>1425</v>
      </c>
      <c r="S100" t="s">
        <v>1425</v>
      </c>
      <c r="T100" t="s">
        <v>1425</v>
      </c>
      <c r="U100" t="s">
        <v>1425</v>
      </c>
      <c r="V100" t="s">
        <v>1425</v>
      </c>
      <c r="W100" t="s">
        <v>1425</v>
      </c>
      <c r="X100" t="s">
        <v>1427</v>
      </c>
    </row>
    <row r="101" spans="1:24" x14ac:dyDescent="0.2">
      <c r="A101" s="15" t="s">
        <v>203</v>
      </c>
      <c r="B101" s="15">
        <v>2002</v>
      </c>
      <c r="C101" t="s">
        <v>1425</v>
      </c>
      <c r="D101" t="s">
        <v>1426</v>
      </c>
      <c r="E101" t="s">
        <v>1425</v>
      </c>
      <c r="F101" t="s">
        <v>1426</v>
      </c>
      <c r="G101" t="s">
        <v>1426</v>
      </c>
      <c r="H101" t="s">
        <v>1427</v>
      </c>
      <c r="I101" t="s">
        <v>1427</v>
      </c>
      <c r="J101" t="s">
        <v>1425</v>
      </c>
      <c r="K101" t="s">
        <v>1427</v>
      </c>
      <c r="L101" t="s">
        <v>1427</v>
      </c>
      <c r="M101" t="s">
        <v>1425</v>
      </c>
      <c r="N101" t="s">
        <v>1425</v>
      </c>
      <c r="O101" t="s">
        <v>1425</v>
      </c>
      <c r="P101" t="s">
        <v>1425</v>
      </c>
      <c r="Q101" t="s">
        <v>1425</v>
      </c>
      <c r="R101" t="s">
        <v>1425</v>
      </c>
      <c r="S101" t="s">
        <v>1426</v>
      </c>
      <c r="T101" t="s">
        <v>1427</v>
      </c>
      <c r="U101" t="s">
        <v>1427</v>
      </c>
      <c r="V101" t="s">
        <v>1427</v>
      </c>
      <c r="W101" t="s">
        <v>1425</v>
      </c>
      <c r="X101" t="s">
        <v>1427</v>
      </c>
    </row>
    <row r="102" spans="1:24" x14ac:dyDescent="0.2">
      <c r="A102" s="31" t="s">
        <v>163</v>
      </c>
      <c r="B102" s="31">
        <v>2013</v>
      </c>
      <c r="C102" t="s">
        <v>1425</v>
      </c>
      <c r="D102" t="s">
        <v>1426</v>
      </c>
      <c r="E102" t="s">
        <v>1425</v>
      </c>
      <c r="F102" t="s">
        <v>1426</v>
      </c>
      <c r="G102" t="s">
        <v>1426</v>
      </c>
      <c r="H102" t="s">
        <v>1427</v>
      </c>
      <c r="I102" t="s">
        <v>1427</v>
      </c>
      <c r="J102" t="s">
        <v>1425</v>
      </c>
      <c r="K102" t="s">
        <v>1427</v>
      </c>
      <c r="L102" t="s">
        <v>1427</v>
      </c>
      <c r="M102" t="s">
        <v>1425</v>
      </c>
      <c r="N102" t="s">
        <v>1427</v>
      </c>
      <c r="O102" t="s">
        <v>1427</v>
      </c>
      <c r="P102" t="s">
        <v>1427</v>
      </c>
      <c r="Q102" t="s">
        <v>1425</v>
      </c>
      <c r="R102" t="s">
        <v>1425</v>
      </c>
      <c r="S102" t="s">
        <v>1426</v>
      </c>
      <c r="T102" t="s">
        <v>1427</v>
      </c>
      <c r="U102" t="s">
        <v>1427</v>
      </c>
      <c r="V102" t="s">
        <v>1427</v>
      </c>
      <c r="W102" t="s">
        <v>1425</v>
      </c>
      <c r="X102" t="s">
        <v>1427</v>
      </c>
    </row>
    <row r="103" spans="1:24" x14ac:dyDescent="0.2">
      <c r="A103" s="15" t="s">
        <v>670</v>
      </c>
      <c r="B103" s="15">
        <v>2018</v>
      </c>
      <c r="C103" t="s">
        <v>1425</v>
      </c>
      <c r="D103" t="s">
        <v>1426</v>
      </c>
      <c r="E103" t="s">
        <v>1425</v>
      </c>
      <c r="F103" t="s">
        <v>1426</v>
      </c>
      <c r="G103" t="s">
        <v>1426</v>
      </c>
      <c r="H103" t="s">
        <v>1427</v>
      </c>
      <c r="I103" t="s">
        <v>1427</v>
      </c>
      <c r="J103" t="s">
        <v>1425</v>
      </c>
      <c r="K103" t="s">
        <v>1427</v>
      </c>
      <c r="L103" t="s">
        <v>1427</v>
      </c>
      <c r="M103" t="s">
        <v>1425</v>
      </c>
      <c r="N103" t="s">
        <v>1427</v>
      </c>
      <c r="O103" t="s">
        <v>1427</v>
      </c>
      <c r="P103" t="s">
        <v>1427</v>
      </c>
      <c r="Q103" t="s">
        <v>1425</v>
      </c>
      <c r="R103" t="s">
        <v>1425</v>
      </c>
      <c r="S103" t="s">
        <v>1426</v>
      </c>
      <c r="T103" t="s">
        <v>1427</v>
      </c>
      <c r="U103" t="s">
        <v>1427</v>
      </c>
      <c r="V103" t="s">
        <v>1427</v>
      </c>
      <c r="W103" t="s">
        <v>1425</v>
      </c>
      <c r="X103" t="s">
        <v>1427</v>
      </c>
    </row>
    <row r="104" spans="1:24" x14ac:dyDescent="0.2">
      <c r="A104" s="15" t="s">
        <v>766</v>
      </c>
      <c r="B104" s="15">
        <v>2002</v>
      </c>
      <c r="C104" t="s">
        <v>1425</v>
      </c>
      <c r="D104" t="s">
        <v>1425</v>
      </c>
      <c r="E104" t="s">
        <v>1425</v>
      </c>
      <c r="F104" t="s">
        <v>1425</v>
      </c>
      <c r="G104" t="s">
        <v>1425</v>
      </c>
      <c r="H104" t="s">
        <v>1425</v>
      </c>
      <c r="I104" t="s">
        <v>1425</v>
      </c>
      <c r="J104" t="s">
        <v>1425</v>
      </c>
      <c r="K104" t="s">
        <v>1425</v>
      </c>
      <c r="L104" t="s">
        <v>1425</v>
      </c>
      <c r="M104" t="s">
        <v>1425</v>
      </c>
      <c r="N104" t="s">
        <v>1425</v>
      </c>
      <c r="O104" t="s">
        <v>1425</v>
      </c>
      <c r="P104" t="s">
        <v>1425</v>
      </c>
      <c r="Q104" t="s">
        <v>1425</v>
      </c>
      <c r="R104" t="s">
        <v>1425</v>
      </c>
      <c r="S104" t="s">
        <v>1425</v>
      </c>
      <c r="T104" t="s">
        <v>1425</v>
      </c>
      <c r="U104" t="s">
        <v>1425</v>
      </c>
      <c r="V104" t="s">
        <v>1427</v>
      </c>
      <c r="W104" t="s">
        <v>1425</v>
      </c>
      <c r="X104" t="s">
        <v>1427</v>
      </c>
    </row>
    <row r="105" spans="1:24" x14ac:dyDescent="0.2">
      <c r="A105" s="15" t="s">
        <v>1109</v>
      </c>
      <c r="B105" s="15">
        <v>2004</v>
      </c>
      <c r="C105" t="s">
        <v>1425</v>
      </c>
      <c r="D105" t="s">
        <v>1425</v>
      </c>
      <c r="E105" t="s">
        <v>1425</v>
      </c>
      <c r="F105" t="s">
        <v>1425</v>
      </c>
      <c r="G105" t="s">
        <v>1425</v>
      </c>
      <c r="H105" t="s">
        <v>1425</v>
      </c>
      <c r="I105" t="s">
        <v>1425</v>
      </c>
      <c r="J105" t="s">
        <v>1425</v>
      </c>
      <c r="K105" t="s">
        <v>1425</v>
      </c>
      <c r="L105" t="s">
        <v>1425</v>
      </c>
      <c r="M105" t="s">
        <v>1425</v>
      </c>
      <c r="N105" t="s">
        <v>1425</v>
      </c>
      <c r="O105" t="s">
        <v>1425</v>
      </c>
      <c r="P105" t="s">
        <v>1425</v>
      </c>
      <c r="Q105" t="s">
        <v>1425</v>
      </c>
      <c r="R105" t="s">
        <v>1425</v>
      </c>
      <c r="S105" t="s">
        <v>1425</v>
      </c>
      <c r="T105" t="s">
        <v>1425</v>
      </c>
      <c r="U105" t="s">
        <v>1425</v>
      </c>
      <c r="V105" t="s">
        <v>1427</v>
      </c>
      <c r="W105" t="s">
        <v>1425</v>
      </c>
      <c r="X105" t="s">
        <v>1425</v>
      </c>
    </row>
    <row r="106" spans="1:24" x14ac:dyDescent="0.2">
      <c r="A106" s="31" t="s">
        <v>1019</v>
      </c>
      <c r="B106" s="31">
        <v>1984</v>
      </c>
      <c r="C106" t="s">
        <v>1425</v>
      </c>
      <c r="D106" t="s">
        <v>1425</v>
      </c>
      <c r="E106" t="s">
        <v>1425</v>
      </c>
      <c r="F106" t="s">
        <v>1425</v>
      </c>
      <c r="G106" t="s">
        <v>1425</v>
      </c>
      <c r="H106" t="s">
        <v>1425</v>
      </c>
      <c r="I106" t="s">
        <v>1425</v>
      </c>
      <c r="J106" t="s">
        <v>1425</v>
      </c>
      <c r="K106" t="s">
        <v>1426</v>
      </c>
      <c r="L106" t="s">
        <v>1426</v>
      </c>
      <c r="M106" t="s">
        <v>1427</v>
      </c>
      <c r="N106" t="s">
        <v>1427</v>
      </c>
      <c r="O106" t="s">
        <v>1427</v>
      </c>
      <c r="P106" t="s">
        <v>1427</v>
      </c>
      <c r="Q106" t="s">
        <v>1425</v>
      </c>
      <c r="R106" t="s">
        <v>1425</v>
      </c>
      <c r="S106" t="s">
        <v>1425</v>
      </c>
      <c r="T106" t="s">
        <v>1425</v>
      </c>
      <c r="U106" t="s">
        <v>1425</v>
      </c>
      <c r="V106" t="s">
        <v>1427</v>
      </c>
      <c r="W106" t="s">
        <v>1425</v>
      </c>
      <c r="X106" t="s">
        <v>1425</v>
      </c>
    </row>
    <row r="107" spans="1:24" x14ac:dyDescent="0.2">
      <c r="A107" s="15" t="s">
        <v>166</v>
      </c>
      <c r="B107" s="15">
        <v>2010</v>
      </c>
      <c r="C107" t="s">
        <v>1425</v>
      </c>
      <c r="D107" t="s">
        <v>1425</v>
      </c>
      <c r="E107" t="s">
        <v>1425</v>
      </c>
      <c r="F107" t="s">
        <v>1425</v>
      </c>
      <c r="G107" t="s">
        <v>1425</v>
      </c>
      <c r="H107" t="s">
        <v>1425</v>
      </c>
      <c r="I107" t="s">
        <v>1425</v>
      </c>
      <c r="J107" t="s">
        <v>1425</v>
      </c>
      <c r="K107" t="s">
        <v>1425</v>
      </c>
      <c r="L107" t="s">
        <v>1425</v>
      </c>
      <c r="M107" t="s">
        <v>1425</v>
      </c>
      <c r="N107" t="s">
        <v>1425</v>
      </c>
      <c r="O107" t="s">
        <v>1425</v>
      </c>
      <c r="P107" t="s">
        <v>1425</v>
      </c>
      <c r="Q107" t="s">
        <v>1425</v>
      </c>
      <c r="R107" t="s">
        <v>1425</v>
      </c>
      <c r="S107" t="s">
        <v>1425</v>
      </c>
      <c r="T107" t="s">
        <v>1425</v>
      </c>
      <c r="U107" t="s">
        <v>1425</v>
      </c>
      <c r="V107" t="s">
        <v>1425</v>
      </c>
      <c r="W107" t="s">
        <v>1425</v>
      </c>
      <c r="X107" t="s">
        <v>1425</v>
      </c>
    </row>
    <row r="108" spans="1:24" x14ac:dyDescent="0.2">
      <c r="A108" s="31" t="s">
        <v>233</v>
      </c>
      <c r="B108" s="31">
        <v>1999</v>
      </c>
      <c r="C108" t="s">
        <v>1425</v>
      </c>
      <c r="D108" t="s">
        <v>1425</v>
      </c>
      <c r="E108" t="s">
        <v>1425</v>
      </c>
      <c r="F108" t="s">
        <v>1425</v>
      </c>
      <c r="G108" t="s">
        <v>1425</v>
      </c>
      <c r="H108" t="s">
        <v>1425</v>
      </c>
      <c r="I108" t="s">
        <v>1425</v>
      </c>
      <c r="J108" t="s">
        <v>1425</v>
      </c>
      <c r="K108" t="s">
        <v>1425</v>
      </c>
      <c r="L108" t="s">
        <v>1425</v>
      </c>
      <c r="M108" t="s">
        <v>1425</v>
      </c>
      <c r="N108" t="s">
        <v>1425</v>
      </c>
      <c r="O108" t="s">
        <v>1425</v>
      </c>
      <c r="P108" t="s">
        <v>1425</v>
      </c>
      <c r="Q108" t="s">
        <v>1425</v>
      </c>
      <c r="R108" t="s">
        <v>1425</v>
      </c>
      <c r="S108" t="s">
        <v>1425</v>
      </c>
      <c r="T108" t="s">
        <v>1425</v>
      </c>
      <c r="U108" t="s">
        <v>1425</v>
      </c>
      <c r="V108" t="s">
        <v>1427</v>
      </c>
      <c r="W108" t="s">
        <v>1425</v>
      </c>
      <c r="X108" t="s">
        <v>1425</v>
      </c>
    </row>
    <row r="109" spans="1:24" x14ac:dyDescent="0.2">
      <c r="A109" s="31" t="s">
        <v>932</v>
      </c>
      <c r="B109" s="31">
        <v>2019</v>
      </c>
    </row>
    <row r="110" spans="1:24" x14ac:dyDescent="0.2">
      <c r="A110" s="31" t="s">
        <v>271</v>
      </c>
      <c r="B110" s="31">
        <v>1995</v>
      </c>
    </row>
    <row r="111" spans="1:24" x14ac:dyDescent="0.2">
      <c r="A111" s="31" t="s">
        <v>1372</v>
      </c>
      <c r="B111" s="31">
        <v>1992</v>
      </c>
      <c r="C111" t="s">
        <v>1425</v>
      </c>
      <c r="D111" t="s">
        <v>1427</v>
      </c>
      <c r="E111" t="s">
        <v>1427</v>
      </c>
      <c r="F111" t="s">
        <v>1425</v>
      </c>
      <c r="G111" t="s">
        <v>1425</v>
      </c>
      <c r="H111" t="s">
        <v>1425</v>
      </c>
      <c r="I111" t="s">
        <v>1425</v>
      </c>
      <c r="J111" t="s">
        <v>1425</v>
      </c>
      <c r="K111" t="s">
        <v>1426</v>
      </c>
      <c r="L111" t="s">
        <v>1426</v>
      </c>
      <c r="M111" t="s">
        <v>1426</v>
      </c>
      <c r="N111" t="s">
        <v>1426</v>
      </c>
      <c r="O111" t="s">
        <v>1427</v>
      </c>
      <c r="P111" t="s">
        <v>1427</v>
      </c>
      <c r="Q111" t="s">
        <v>1425</v>
      </c>
      <c r="R111" t="s">
        <v>1425</v>
      </c>
      <c r="S111" t="s">
        <v>1425</v>
      </c>
      <c r="T111" t="s">
        <v>1425</v>
      </c>
      <c r="U111" t="s">
        <v>1425</v>
      </c>
      <c r="V111" t="s">
        <v>1427</v>
      </c>
      <c r="W111" t="s">
        <v>1427</v>
      </c>
      <c r="X111" t="s">
        <v>1427</v>
      </c>
    </row>
    <row r="112" spans="1:24" x14ac:dyDescent="0.2">
      <c r="A112" s="15" t="s">
        <v>672</v>
      </c>
      <c r="B112" s="15">
        <v>2012</v>
      </c>
      <c r="C112">
        <v>1</v>
      </c>
      <c r="D112" t="s">
        <v>1425</v>
      </c>
      <c r="E112" t="s">
        <v>1425</v>
      </c>
      <c r="F112" t="s">
        <v>1425</v>
      </c>
      <c r="G112" t="s">
        <v>1425</v>
      </c>
      <c r="H112" t="s">
        <v>1425</v>
      </c>
      <c r="I112" t="s">
        <v>1425</v>
      </c>
      <c r="J112" t="s">
        <v>1425</v>
      </c>
      <c r="K112" t="s">
        <v>1425</v>
      </c>
      <c r="L112" t="s">
        <v>1425</v>
      </c>
      <c r="M112" t="s">
        <v>1425</v>
      </c>
      <c r="N112" t="s">
        <v>1425</v>
      </c>
      <c r="O112" t="s">
        <v>1425</v>
      </c>
      <c r="P112" t="s">
        <v>1425</v>
      </c>
      <c r="Q112" t="s">
        <v>1425</v>
      </c>
      <c r="R112" t="s">
        <v>1425</v>
      </c>
      <c r="S112" t="s">
        <v>1425</v>
      </c>
      <c r="T112" t="s">
        <v>1425</v>
      </c>
      <c r="U112" t="s">
        <v>1425</v>
      </c>
      <c r="V112" t="s">
        <v>1425</v>
      </c>
      <c r="W112" t="s">
        <v>1425</v>
      </c>
      <c r="X112" t="s">
        <v>1425</v>
      </c>
    </row>
    <row r="113" spans="1:24" x14ac:dyDescent="0.2">
      <c r="A113" s="31" t="s">
        <v>274</v>
      </c>
      <c r="B113" s="31">
        <v>1997</v>
      </c>
    </row>
    <row r="114" spans="1:24" x14ac:dyDescent="0.2">
      <c r="A114" s="15" t="s">
        <v>224</v>
      </c>
      <c r="B114" s="15">
        <v>1997</v>
      </c>
      <c r="C114" t="s">
        <v>1427</v>
      </c>
      <c r="D114" t="s">
        <v>1427</v>
      </c>
      <c r="E114" t="s">
        <v>1425</v>
      </c>
      <c r="F114" t="s">
        <v>1425</v>
      </c>
      <c r="G114" t="s">
        <v>1425</v>
      </c>
      <c r="H114" t="s">
        <v>1425</v>
      </c>
      <c r="I114" t="s">
        <v>1425</v>
      </c>
      <c r="J114" t="s">
        <v>1425</v>
      </c>
      <c r="K114" t="s">
        <v>1425</v>
      </c>
      <c r="L114" t="s">
        <v>1425</v>
      </c>
      <c r="M114" t="s">
        <v>1425</v>
      </c>
      <c r="N114" t="s">
        <v>1425</v>
      </c>
      <c r="O114" t="s">
        <v>1425</v>
      </c>
      <c r="P114" t="s">
        <v>1425</v>
      </c>
      <c r="Q114" t="s">
        <v>1425</v>
      </c>
      <c r="R114" t="s">
        <v>1425</v>
      </c>
      <c r="S114" t="s">
        <v>1425</v>
      </c>
      <c r="T114" t="s">
        <v>1425</v>
      </c>
      <c r="U114" t="s">
        <v>1425</v>
      </c>
      <c r="V114" t="s">
        <v>1425</v>
      </c>
      <c r="W114" t="s">
        <v>1425</v>
      </c>
      <c r="X114" t="s">
        <v>1425</v>
      </c>
    </row>
    <row r="115" spans="1:24" x14ac:dyDescent="0.2">
      <c r="A115" s="31" t="s">
        <v>58</v>
      </c>
      <c r="B115" s="31">
        <v>1998</v>
      </c>
      <c r="C115" t="s">
        <v>1427</v>
      </c>
      <c r="D115" t="s">
        <v>1427</v>
      </c>
      <c r="E115" t="s">
        <v>1425</v>
      </c>
      <c r="F115" t="s">
        <v>1427</v>
      </c>
      <c r="G115" t="s">
        <v>1427</v>
      </c>
      <c r="H115" t="s">
        <v>1425</v>
      </c>
      <c r="I115" t="s">
        <v>1425</v>
      </c>
      <c r="J115" t="s">
        <v>1425</v>
      </c>
      <c r="K115" t="s">
        <v>1425</v>
      </c>
      <c r="L115" t="s">
        <v>1425</v>
      </c>
      <c r="M115" t="s">
        <v>1425</v>
      </c>
      <c r="N115" t="s">
        <v>1425</v>
      </c>
      <c r="O115" t="s">
        <v>1425</v>
      </c>
      <c r="P115" t="s">
        <v>1425</v>
      </c>
      <c r="Q115" t="s">
        <v>1425</v>
      </c>
      <c r="R115" t="s">
        <v>1425</v>
      </c>
      <c r="S115" t="s">
        <v>1427</v>
      </c>
      <c r="T115" t="s">
        <v>1427</v>
      </c>
      <c r="U115" t="s">
        <v>1425</v>
      </c>
      <c r="V115" t="s">
        <v>1427</v>
      </c>
      <c r="W115" t="s">
        <v>1425</v>
      </c>
      <c r="X115" t="s">
        <v>1425</v>
      </c>
    </row>
    <row r="116" spans="1:24" x14ac:dyDescent="0.2">
      <c r="A116" s="31" t="s">
        <v>4</v>
      </c>
      <c r="B116" s="31">
        <v>2013</v>
      </c>
      <c r="C116" t="s">
        <v>1425</v>
      </c>
      <c r="D116" t="s">
        <v>1425</v>
      </c>
      <c r="E116" t="s">
        <v>1425</v>
      </c>
      <c r="F116" t="s">
        <v>1425</v>
      </c>
      <c r="G116" t="s">
        <v>1425</v>
      </c>
      <c r="H116" t="s">
        <v>1425</v>
      </c>
      <c r="I116" t="s">
        <v>1425</v>
      </c>
      <c r="J116" t="s">
        <v>1425</v>
      </c>
      <c r="K116" t="s">
        <v>1425</v>
      </c>
      <c r="L116" t="s">
        <v>1425</v>
      </c>
      <c r="M116" t="s">
        <v>1425</v>
      </c>
      <c r="N116" t="s">
        <v>1425</v>
      </c>
      <c r="O116" t="s">
        <v>1425</v>
      </c>
      <c r="P116" t="s">
        <v>1425</v>
      </c>
      <c r="Q116" t="s">
        <v>1425</v>
      </c>
      <c r="R116" t="s">
        <v>1425</v>
      </c>
      <c r="S116" t="s">
        <v>1425</v>
      </c>
      <c r="T116" t="s">
        <v>1425</v>
      </c>
      <c r="U116" t="s">
        <v>1425</v>
      </c>
      <c r="V116" t="s">
        <v>1425</v>
      </c>
      <c r="W116" t="s">
        <v>1425</v>
      </c>
      <c r="X116" t="s">
        <v>1425</v>
      </c>
    </row>
    <row r="117" spans="1:24" x14ac:dyDescent="0.2">
      <c r="A117" s="15" t="s">
        <v>168</v>
      </c>
      <c r="B117" s="15">
        <v>2002</v>
      </c>
      <c r="C117" t="s">
        <v>1425</v>
      </c>
      <c r="D117" t="s">
        <v>1425</v>
      </c>
      <c r="E117" t="s">
        <v>1425</v>
      </c>
      <c r="F117" t="s">
        <v>1425</v>
      </c>
      <c r="G117" t="s">
        <v>1425</v>
      </c>
      <c r="H117" t="s">
        <v>1425</v>
      </c>
      <c r="I117" t="s">
        <v>1425</v>
      </c>
      <c r="J117" t="s">
        <v>1425</v>
      </c>
      <c r="K117" t="s">
        <v>1425</v>
      </c>
      <c r="L117" t="s">
        <v>1425</v>
      </c>
      <c r="M117" t="s">
        <v>1425</v>
      </c>
      <c r="N117" t="s">
        <v>1425</v>
      </c>
      <c r="O117" t="s">
        <v>1425</v>
      </c>
      <c r="P117" t="s">
        <v>1425</v>
      </c>
      <c r="Q117" t="s">
        <v>1425</v>
      </c>
      <c r="R117" t="s">
        <v>1425</v>
      </c>
      <c r="S117" t="s">
        <v>1425</v>
      </c>
      <c r="T117" t="s">
        <v>1425</v>
      </c>
      <c r="U117" t="s">
        <v>1425</v>
      </c>
      <c r="V117" t="s">
        <v>1425</v>
      </c>
      <c r="W117" t="s">
        <v>1425</v>
      </c>
      <c r="X117" t="s">
        <v>1425</v>
      </c>
    </row>
    <row r="118" spans="1:24" x14ac:dyDescent="0.2">
      <c r="A118" s="31" t="s">
        <v>1335</v>
      </c>
      <c r="B118" s="31">
        <v>1996</v>
      </c>
      <c r="C118" t="s">
        <v>1425</v>
      </c>
      <c r="D118" t="s">
        <v>1425</v>
      </c>
      <c r="E118" t="s">
        <v>1425</v>
      </c>
      <c r="F118" t="s">
        <v>1425</v>
      </c>
      <c r="G118" t="s">
        <v>1425</v>
      </c>
      <c r="H118" t="s">
        <v>1425</v>
      </c>
      <c r="I118" t="s">
        <v>1425</v>
      </c>
      <c r="J118" t="s">
        <v>1425</v>
      </c>
      <c r="K118" t="s">
        <v>1425</v>
      </c>
      <c r="L118" t="s">
        <v>1425</v>
      </c>
      <c r="M118" t="s">
        <v>1425</v>
      </c>
      <c r="N118" t="s">
        <v>1425</v>
      </c>
      <c r="O118" t="s">
        <v>1425</v>
      </c>
      <c r="P118" t="s">
        <v>1425</v>
      </c>
      <c r="Q118" t="s">
        <v>1425</v>
      </c>
      <c r="R118" t="s">
        <v>1425</v>
      </c>
      <c r="S118" t="s">
        <v>1425</v>
      </c>
      <c r="T118" t="s">
        <v>1425</v>
      </c>
      <c r="U118" t="s">
        <v>1425</v>
      </c>
      <c r="V118" t="s">
        <v>1425</v>
      </c>
      <c r="W118" t="s">
        <v>1425</v>
      </c>
      <c r="X118" t="s">
        <v>1425</v>
      </c>
    </row>
    <row r="119" spans="1:24" x14ac:dyDescent="0.2">
      <c r="A119" s="15" t="s">
        <v>48</v>
      </c>
      <c r="B119" s="15">
        <v>2008</v>
      </c>
      <c r="C119" t="s">
        <v>1425</v>
      </c>
      <c r="D119" t="s">
        <v>1425</v>
      </c>
      <c r="E119" t="s">
        <v>1425</v>
      </c>
      <c r="F119" t="s">
        <v>1426</v>
      </c>
      <c r="G119" t="s">
        <v>1426</v>
      </c>
      <c r="H119" t="s">
        <v>1425</v>
      </c>
      <c r="I119" t="s">
        <v>1427</v>
      </c>
      <c r="J119" t="s">
        <v>1425</v>
      </c>
      <c r="K119" t="s">
        <v>1425</v>
      </c>
      <c r="L119" t="s">
        <v>1425</v>
      </c>
      <c r="M119" t="s">
        <v>1425</v>
      </c>
      <c r="N119" t="s">
        <v>1425</v>
      </c>
      <c r="O119" t="s">
        <v>1425</v>
      </c>
      <c r="P119" t="s">
        <v>1425</v>
      </c>
      <c r="Q119" t="s">
        <v>1425</v>
      </c>
      <c r="R119" t="s">
        <v>1425</v>
      </c>
      <c r="S119" t="s">
        <v>1426</v>
      </c>
      <c r="T119" t="s">
        <v>1427</v>
      </c>
      <c r="U119" t="s">
        <v>1427</v>
      </c>
      <c r="V119" t="s">
        <v>1427</v>
      </c>
      <c r="W119" t="s">
        <v>1425</v>
      </c>
      <c r="X119" t="s">
        <v>1425</v>
      </c>
    </row>
    <row r="120" spans="1:24" x14ac:dyDescent="0.2">
      <c r="A120" s="15" t="s">
        <v>94</v>
      </c>
      <c r="B120" s="15">
        <v>2021</v>
      </c>
      <c r="C120" t="s">
        <v>1425</v>
      </c>
      <c r="D120" t="s">
        <v>1425</v>
      </c>
      <c r="E120" t="s">
        <v>1425</v>
      </c>
      <c r="F120" t="s">
        <v>1425</v>
      </c>
      <c r="G120" t="s">
        <v>1425</v>
      </c>
      <c r="H120" t="s">
        <v>1425</v>
      </c>
      <c r="I120" t="s">
        <v>1425</v>
      </c>
      <c r="J120" t="s">
        <v>1425</v>
      </c>
      <c r="K120" t="s">
        <v>1425</v>
      </c>
      <c r="L120" t="s">
        <v>1425</v>
      </c>
      <c r="M120" t="s">
        <v>1425</v>
      </c>
      <c r="N120" t="s">
        <v>1425</v>
      </c>
      <c r="O120" t="s">
        <v>1425</v>
      </c>
      <c r="P120" t="s">
        <v>1425</v>
      </c>
      <c r="Q120" t="s">
        <v>1425</v>
      </c>
      <c r="R120" t="s">
        <v>1425</v>
      </c>
      <c r="S120" t="s">
        <v>1425</v>
      </c>
      <c r="T120" t="s">
        <v>1425</v>
      </c>
      <c r="U120" t="s">
        <v>1425</v>
      </c>
      <c r="V120" t="s">
        <v>1425</v>
      </c>
      <c r="W120" t="s">
        <v>1425</v>
      </c>
      <c r="X120" t="s">
        <v>1425</v>
      </c>
    </row>
    <row r="121" spans="1:24" x14ac:dyDescent="0.2">
      <c r="A121" s="15" t="s">
        <v>674</v>
      </c>
      <c r="B121" s="15">
        <v>2008</v>
      </c>
      <c r="C121" t="s">
        <v>1425</v>
      </c>
      <c r="D121" t="s">
        <v>1425</v>
      </c>
      <c r="E121" t="s">
        <v>1425</v>
      </c>
      <c r="F121" t="s">
        <v>1425</v>
      </c>
      <c r="G121" t="s">
        <v>1425</v>
      </c>
      <c r="H121" t="s">
        <v>1425</v>
      </c>
      <c r="I121" t="s">
        <v>1425</v>
      </c>
      <c r="J121" t="s">
        <v>1425</v>
      </c>
      <c r="K121" t="s">
        <v>1425</v>
      </c>
      <c r="L121" t="s">
        <v>1425</v>
      </c>
      <c r="M121" t="s">
        <v>1425</v>
      </c>
      <c r="N121" t="s">
        <v>1425</v>
      </c>
      <c r="O121" t="s">
        <v>1425</v>
      </c>
      <c r="P121" t="s">
        <v>1425</v>
      </c>
      <c r="Q121" t="s">
        <v>1425</v>
      </c>
      <c r="R121" t="s">
        <v>1425</v>
      </c>
      <c r="S121" t="s">
        <v>1425</v>
      </c>
      <c r="T121" t="s">
        <v>1425</v>
      </c>
      <c r="U121" t="s">
        <v>1425</v>
      </c>
      <c r="V121" t="s">
        <v>1425</v>
      </c>
      <c r="W121" t="s">
        <v>1425</v>
      </c>
      <c r="X121" t="s">
        <v>1425</v>
      </c>
    </row>
    <row r="122" spans="1:24" x14ac:dyDescent="0.2">
      <c r="A122" s="31" t="s">
        <v>132</v>
      </c>
      <c r="B122" s="31">
        <v>2001</v>
      </c>
      <c r="C122" t="s">
        <v>1425</v>
      </c>
      <c r="D122" t="s">
        <v>1425</v>
      </c>
      <c r="E122" t="s">
        <v>1425</v>
      </c>
      <c r="F122" t="s">
        <v>1425</v>
      </c>
      <c r="G122" t="s">
        <v>1425</v>
      </c>
      <c r="H122" t="s">
        <v>1425</v>
      </c>
      <c r="I122" t="s">
        <v>1425</v>
      </c>
      <c r="J122" t="s">
        <v>1425</v>
      </c>
      <c r="K122" t="s">
        <v>1425</v>
      </c>
      <c r="L122" t="s">
        <v>1425</v>
      </c>
      <c r="M122" t="s">
        <v>1425</v>
      </c>
      <c r="N122" t="s">
        <v>1425</v>
      </c>
      <c r="O122" t="s">
        <v>1425</v>
      </c>
      <c r="P122" t="s">
        <v>1425</v>
      </c>
      <c r="Q122" t="s">
        <v>1425</v>
      </c>
      <c r="R122" t="s">
        <v>1425</v>
      </c>
      <c r="S122" t="s">
        <v>1425</v>
      </c>
      <c r="T122" t="s">
        <v>1425</v>
      </c>
      <c r="U122" t="s">
        <v>1425</v>
      </c>
      <c r="V122" t="s">
        <v>1425</v>
      </c>
      <c r="W122" t="s">
        <v>1425</v>
      </c>
      <c r="X122" t="s">
        <v>1425</v>
      </c>
    </row>
    <row r="123" spans="1:24" x14ac:dyDescent="0.2">
      <c r="A123" s="15" t="s">
        <v>133</v>
      </c>
      <c r="B123" s="15">
        <v>1996</v>
      </c>
      <c r="C123" t="s">
        <v>1425</v>
      </c>
      <c r="D123" t="s">
        <v>1427</v>
      </c>
      <c r="E123" t="s">
        <v>1425</v>
      </c>
      <c r="F123" t="s">
        <v>1427</v>
      </c>
      <c r="G123" t="s">
        <v>1427</v>
      </c>
      <c r="H123" t="s">
        <v>1425</v>
      </c>
      <c r="I123" t="s">
        <v>1427</v>
      </c>
      <c r="J123" t="s">
        <v>1425</v>
      </c>
      <c r="K123" t="s">
        <v>1427</v>
      </c>
      <c r="L123" t="s">
        <v>1427</v>
      </c>
      <c r="M123" t="s">
        <v>1425</v>
      </c>
      <c r="N123" t="s">
        <v>1425</v>
      </c>
      <c r="O123" t="s">
        <v>1425</v>
      </c>
      <c r="P123" t="s">
        <v>1425</v>
      </c>
      <c r="Q123" t="s">
        <v>1425</v>
      </c>
      <c r="R123" t="s">
        <v>1425</v>
      </c>
      <c r="S123" t="s">
        <v>1427</v>
      </c>
      <c r="T123" t="s">
        <v>1427</v>
      </c>
      <c r="U123" t="s">
        <v>1427</v>
      </c>
      <c r="V123" t="s">
        <v>1427</v>
      </c>
      <c r="W123" t="s">
        <v>1425</v>
      </c>
      <c r="X123" t="s">
        <v>1427</v>
      </c>
    </row>
    <row r="124" spans="1:24" x14ac:dyDescent="0.2">
      <c r="A124" s="31" t="s">
        <v>133</v>
      </c>
      <c r="B124" s="31">
        <v>2005</v>
      </c>
      <c r="C124" t="s">
        <v>1425</v>
      </c>
      <c r="D124" t="s">
        <v>1427</v>
      </c>
      <c r="E124" t="s">
        <v>1425</v>
      </c>
      <c r="F124" t="s">
        <v>1427</v>
      </c>
      <c r="G124" t="s">
        <v>1427</v>
      </c>
      <c r="H124" t="s">
        <v>1425</v>
      </c>
      <c r="I124" t="s">
        <v>1427</v>
      </c>
      <c r="J124" t="s">
        <v>1425</v>
      </c>
      <c r="K124" t="s">
        <v>1425</v>
      </c>
      <c r="L124" t="s">
        <v>1425</v>
      </c>
      <c r="M124" t="s">
        <v>1425</v>
      </c>
      <c r="N124" t="s">
        <v>1425</v>
      </c>
      <c r="O124" t="s">
        <v>1425</v>
      </c>
      <c r="P124" t="s">
        <v>1425</v>
      </c>
      <c r="Q124" t="s">
        <v>1425</v>
      </c>
      <c r="R124" t="s">
        <v>1425</v>
      </c>
      <c r="S124" t="s">
        <v>1427</v>
      </c>
      <c r="T124" t="s">
        <v>1427</v>
      </c>
      <c r="U124" t="s">
        <v>1427</v>
      </c>
      <c r="V124" t="s">
        <v>1427</v>
      </c>
      <c r="W124" t="s">
        <v>1425</v>
      </c>
      <c r="X124" t="s">
        <v>1427</v>
      </c>
    </row>
    <row r="125" spans="1:24" x14ac:dyDescent="0.2">
      <c r="A125" s="31" t="s">
        <v>928</v>
      </c>
      <c r="B125" s="31">
        <v>2016</v>
      </c>
    </row>
    <row r="126" spans="1:24" x14ac:dyDescent="0.2">
      <c r="A126" s="31" t="s">
        <v>326</v>
      </c>
      <c r="B126" s="31">
        <v>2013</v>
      </c>
      <c r="C126" t="s">
        <v>1425</v>
      </c>
      <c r="D126" t="s">
        <v>1427</v>
      </c>
      <c r="E126" t="s">
        <v>1425</v>
      </c>
      <c r="F126" t="s">
        <v>1426</v>
      </c>
      <c r="G126" t="s">
        <v>1426</v>
      </c>
      <c r="H126" t="s">
        <v>1425</v>
      </c>
      <c r="I126" t="s">
        <v>1427</v>
      </c>
      <c r="J126" t="s">
        <v>1425</v>
      </c>
      <c r="K126" t="s">
        <v>1427</v>
      </c>
      <c r="L126" t="s">
        <v>1427</v>
      </c>
      <c r="M126" t="s">
        <v>1425</v>
      </c>
      <c r="N126" t="s">
        <v>1425</v>
      </c>
      <c r="O126" t="s">
        <v>1425</v>
      </c>
      <c r="P126" t="s">
        <v>1425</v>
      </c>
      <c r="Q126" t="s">
        <v>1425</v>
      </c>
      <c r="R126" t="s">
        <v>1425</v>
      </c>
      <c r="S126" t="s">
        <v>1426</v>
      </c>
      <c r="T126" t="s">
        <v>1427</v>
      </c>
      <c r="U126" t="s">
        <v>1427</v>
      </c>
      <c r="V126" t="s">
        <v>1427</v>
      </c>
      <c r="W126" t="s">
        <v>1425</v>
      </c>
      <c r="X126" t="s">
        <v>1427</v>
      </c>
    </row>
    <row r="127" spans="1:24" x14ac:dyDescent="0.2">
      <c r="A127" s="31" t="s">
        <v>136</v>
      </c>
      <c r="B127" s="31">
        <v>1999</v>
      </c>
      <c r="C127" t="s">
        <v>1425</v>
      </c>
      <c r="D127" t="s">
        <v>1425</v>
      </c>
      <c r="E127" t="s">
        <v>1425</v>
      </c>
      <c r="F127" t="s">
        <v>1425</v>
      </c>
      <c r="G127" t="s">
        <v>1425</v>
      </c>
      <c r="H127" t="s">
        <v>1425</v>
      </c>
      <c r="I127" t="s">
        <v>1425</v>
      </c>
      <c r="J127" t="s">
        <v>1425</v>
      </c>
      <c r="K127" t="s">
        <v>1425</v>
      </c>
      <c r="L127" t="s">
        <v>1425</v>
      </c>
      <c r="M127" t="s">
        <v>1425</v>
      </c>
      <c r="N127" t="s">
        <v>1425</v>
      </c>
      <c r="O127" t="s">
        <v>1425</v>
      </c>
      <c r="P127" t="s">
        <v>1425</v>
      </c>
      <c r="Q127" t="s">
        <v>1425</v>
      </c>
      <c r="R127" t="s">
        <v>1425</v>
      </c>
      <c r="S127" t="s">
        <v>1425</v>
      </c>
      <c r="T127" t="s">
        <v>1425</v>
      </c>
      <c r="U127" t="s">
        <v>1425</v>
      </c>
      <c r="V127" t="s">
        <v>1427</v>
      </c>
      <c r="W127" t="s">
        <v>1425</v>
      </c>
      <c r="X127" t="s">
        <v>1425</v>
      </c>
    </row>
    <row r="128" spans="1:24" x14ac:dyDescent="0.2">
      <c r="A128" s="15" t="s">
        <v>767</v>
      </c>
      <c r="B128" s="15">
        <v>2005</v>
      </c>
      <c r="C128" t="s">
        <v>1425</v>
      </c>
      <c r="D128" t="s">
        <v>1425</v>
      </c>
      <c r="E128" t="s">
        <v>1425</v>
      </c>
      <c r="F128" t="s">
        <v>1425</v>
      </c>
      <c r="G128" t="s">
        <v>1425</v>
      </c>
      <c r="H128" t="s">
        <v>1425</v>
      </c>
      <c r="I128" t="s">
        <v>1425</v>
      </c>
      <c r="J128" t="s">
        <v>1425</v>
      </c>
      <c r="K128" t="s">
        <v>1425</v>
      </c>
      <c r="L128" t="s">
        <v>1425</v>
      </c>
      <c r="M128" t="s">
        <v>1425</v>
      </c>
      <c r="N128" t="s">
        <v>1425</v>
      </c>
      <c r="O128" t="s">
        <v>1425</v>
      </c>
      <c r="P128" t="s">
        <v>1425</v>
      </c>
      <c r="Q128" t="s">
        <v>1425</v>
      </c>
      <c r="R128" t="s">
        <v>1425</v>
      </c>
      <c r="S128" t="s">
        <v>1425</v>
      </c>
      <c r="T128" t="s">
        <v>1425</v>
      </c>
      <c r="U128" t="s">
        <v>1425</v>
      </c>
      <c r="V128" t="s">
        <v>1427</v>
      </c>
      <c r="W128" t="s">
        <v>1425</v>
      </c>
      <c r="X128" t="s">
        <v>1425</v>
      </c>
    </row>
    <row r="129" spans="1:24" x14ac:dyDescent="0.2">
      <c r="A129" s="31" t="s">
        <v>1299</v>
      </c>
      <c r="B129" s="31">
        <v>2023</v>
      </c>
      <c r="C129" t="s">
        <v>1425</v>
      </c>
      <c r="D129" t="s">
        <v>1427</v>
      </c>
      <c r="E129" t="s">
        <v>1427</v>
      </c>
      <c r="F129" t="s">
        <v>1427</v>
      </c>
      <c r="G129" t="s">
        <v>1427</v>
      </c>
      <c r="H129" t="s">
        <v>1427</v>
      </c>
      <c r="I129" t="s">
        <v>1427</v>
      </c>
      <c r="J129" t="s">
        <v>1427</v>
      </c>
      <c r="K129" t="s">
        <v>1427</v>
      </c>
      <c r="L129" t="s">
        <v>1427</v>
      </c>
      <c r="M129" t="s">
        <v>1427</v>
      </c>
      <c r="N129" t="s">
        <v>1427</v>
      </c>
      <c r="O129" t="s">
        <v>1425</v>
      </c>
      <c r="P129" t="s">
        <v>1425</v>
      </c>
      <c r="Q129" t="s">
        <v>1425</v>
      </c>
      <c r="R129" t="s">
        <v>1427</v>
      </c>
      <c r="S129" t="s">
        <v>1427</v>
      </c>
      <c r="T129" t="s">
        <v>1427</v>
      </c>
      <c r="U129" t="s">
        <v>1425</v>
      </c>
      <c r="V129" t="s">
        <v>1427</v>
      </c>
      <c r="W129" t="s">
        <v>1427</v>
      </c>
      <c r="X129" t="s">
        <v>1427</v>
      </c>
    </row>
    <row r="130" spans="1:24" x14ac:dyDescent="0.2">
      <c r="A130" s="31" t="s">
        <v>262</v>
      </c>
      <c r="B130" s="31">
        <v>2011</v>
      </c>
      <c r="C130" t="s">
        <v>1425</v>
      </c>
      <c r="D130" t="s">
        <v>1425</v>
      </c>
      <c r="E130" t="s">
        <v>1427</v>
      </c>
      <c r="F130" t="s">
        <v>1427</v>
      </c>
      <c r="G130" t="s">
        <v>1427</v>
      </c>
      <c r="H130" t="s">
        <v>1427</v>
      </c>
      <c r="I130" t="s">
        <v>1425</v>
      </c>
      <c r="J130" t="s">
        <v>1427</v>
      </c>
      <c r="K130" t="s">
        <v>1427</v>
      </c>
      <c r="L130" t="s">
        <v>1427</v>
      </c>
      <c r="M130" t="s">
        <v>1427</v>
      </c>
      <c r="N130" t="s">
        <v>1427</v>
      </c>
      <c r="O130" t="s">
        <v>1425</v>
      </c>
      <c r="P130" t="s">
        <v>1425</v>
      </c>
      <c r="Q130" t="s">
        <v>1425</v>
      </c>
      <c r="R130" t="s">
        <v>1427</v>
      </c>
      <c r="S130" t="s">
        <v>1427</v>
      </c>
      <c r="T130" t="s">
        <v>1427</v>
      </c>
      <c r="U130" t="s">
        <v>1425</v>
      </c>
      <c r="V130" t="s">
        <v>1425</v>
      </c>
      <c r="W130" t="s">
        <v>1427</v>
      </c>
      <c r="X130" t="s">
        <v>1427</v>
      </c>
    </row>
    <row r="131" spans="1:24" x14ac:dyDescent="0.2">
      <c r="A131" s="31" t="s">
        <v>63</v>
      </c>
      <c r="B131" s="31">
        <v>1997</v>
      </c>
      <c r="C131" t="s">
        <v>1425</v>
      </c>
      <c r="D131" t="s">
        <v>1427</v>
      </c>
      <c r="E131" t="s">
        <v>1425</v>
      </c>
      <c r="F131" t="s">
        <v>1426</v>
      </c>
      <c r="G131" t="s">
        <v>1426</v>
      </c>
      <c r="H131" t="s">
        <v>1425</v>
      </c>
      <c r="I131" t="s">
        <v>1427</v>
      </c>
      <c r="J131" t="s">
        <v>1425</v>
      </c>
      <c r="K131" t="s">
        <v>1425</v>
      </c>
      <c r="L131" t="s">
        <v>1427</v>
      </c>
      <c r="M131" t="s">
        <v>1425</v>
      </c>
      <c r="N131" t="s">
        <v>1425</v>
      </c>
      <c r="O131" t="s">
        <v>1425</v>
      </c>
      <c r="P131" t="s">
        <v>1425</v>
      </c>
      <c r="Q131" t="s">
        <v>1425</v>
      </c>
      <c r="R131" t="s">
        <v>1425</v>
      </c>
      <c r="S131" t="s">
        <v>1426</v>
      </c>
      <c r="T131" t="s">
        <v>1427</v>
      </c>
      <c r="U131" t="s">
        <v>1427</v>
      </c>
      <c r="V131" t="s">
        <v>1427</v>
      </c>
      <c r="W131" t="s">
        <v>1425</v>
      </c>
      <c r="X131" t="s">
        <v>1427</v>
      </c>
    </row>
    <row r="132" spans="1:24" x14ac:dyDescent="0.2">
      <c r="A132" s="15" t="s">
        <v>138</v>
      </c>
      <c r="B132" s="15">
        <v>1999</v>
      </c>
      <c r="C132" t="s">
        <v>1425</v>
      </c>
      <c r="D132" t="s">
        <v>1427</v>
      </c>
      <c r="E132" t="s">
        <v>1425</v>
      </c>
      <c r="F132" t="s">
        <v>1426</v>
      </c>
      <c r="G132" t="s">
        <v>1426</v>
      </c>
      <c r="H132" t="s">
        <v>1425</v>
      </c>
      <c r="I132" t="s">
        <v>1427</v>
      </c>
      <c r="J132" t="s">
        <v>1425</v>
      </c>
      <c r="K132" t="s">
        <v>1425</v>
      </c>
      <c r="L132" t="s">
        <v>1427</v>
      </c>
      <c r="M132" t="s">
        <v>1425</v>
      </c>
      <c r="N132" t="s">
        <v>1425</v>
      </c>
      <c r="O132" t="s">
        <v>1425</v>
      </c>
      <c r="P132" t="s">
        <v>1425</v>
      </c>
      <c r="Q132" t="s">
        <v>1425</v>
      </c>
      <c r="R132" t="s">
        <v>1425</v>
      </c>
      <c r="S132" t="s">
        <v>1426</v>
      </c>
      <c r="T132" t="s">
        <v>1427</v>
      </c>
      <c r="U132" t="s">
        <v>1427</v>
      </c>
      <c r="V132" t="s">
        <v>1427</v>
      </c>
      <c r="W132" t="s">
        <v>1425</v>
      </c>
      <c r="X132" t="s">
        <v>1426</v>
      </c>
    </row>
    <row r="133" spans="1:24" x14ac:dyDescent="0.2">
      <c r="A133" s="15" t="s">
        <v>554</v>
      </c>
      <c r="B133" s="15">
        <v>2002</v>
      </c>
      <c r="C133" t="s">
        <v>1425</v>
      </c>
      <c r="D133" t="s">
        <v>1427</v>
      </c>
      <c r="E133" t="s">
        <v>1425</v>
      </c>
      <c r="F133" t="s">
        <v>1426</v>
      </c>
      <c r="G133" t="s">
        <v>1426</v>
      </c>
      <c r="H133" t="s">
        <v>1425</v>
      </c>
      <c r="I133" t="s">
        <v>1427</v>
      </c>
      <c r="J133" t="s">
        <v>1425</v>
      </c>
      <c r="K133" t="s">
        <v>1426</v>
      </c>
      <c r="L133" t="s">
        <v>1427</v>
      </c>
      <c r="M133" t="s">
        <v>1426</v>
      </c>
      <c r="N133" t="s">
        <v>1427</v>
      </c>
      <c r="O133" t="s">
        <v>1427</v>
      </c>
      <c r="P133" t="s">
        <v>1427</v>
      </c>
      <c r="Q133" t="s">
        <v>1425</v>
      </c>
      <c r="R133" t="s">
        <v>1425</v>
      </c>
      <c r="S133" t="s">
        <v>1426</v>
      </c>
      <c r="T133" t="s">
        <v>1427</v>
      </c>
      <c r="U133" t="s">
        <v>1427</v>
      </c>
      <c r="V133" t="s">
        <v>1427</v>
      </c>
      <c r="W133" t="s">
        <v>1425</v>
      </c>
      <c r="X133" t="s">
        <v>1427</v>
      </c>
    </row>
    <row r="134" spans="1:24" x14ac:dyDescent="0.2">
      <c r="A134" s="15" t="s">
        <v>101</v>
      </c>
      <c r="B134" s="15">
        <v>1994</v>
      </c>
      <c r="C134" t="s">
        <v>1425</v>
      </c>
      <c r="D134" t="s">
        <v>1427</v>
      </c>
      <c r="E134" t="s">
        <v>1425</v>
      </c>
      <c r="F134" t="s">
        <v>1426</v>
      </c>
      <c r="G134" t="s">
        <v>1426</v>
      </c>
      <c r="H134" t="s">
        <v>1425</v>
      </c>
      <c r="I134" t="s">
        <v>1427</v>
      </c>
      <c r="J134" t="s">
        <v>1425</v>
      </c>
      <c r="K134" t="s">
        <v>1426</v>
      </c>
      <c r="L134" t="s">
        <v>1427</v>
      </c>
      <c r="M134" t="s">
        <v>1425</v>
      </c>
      <c r="N134" t="s">
        <v>1425</v>
      </c>
      <c r="O134" t="s">
        <v>1425</v>
      </c>
      <c r="P134" t="s">
        <v>1425</v>
      </c>
      <c r="Q134" t="s">
        <v>1425</v>
      </c>
      <c r="R134" t="s">
        <v>1425</v>
      </c>
      <c r="S134" t="s">
        <v>1426</v>
      </c>
      <c r="T134" t="s">
        <v>1427</v>
      </c>
      <c r="U134" t="s">
        <v>1427</v>
      </c>
      <c r="V134" t="s">
        <v>1427</v>
      </c>
      <c r="W134" t="s">
        <v>1425</v>
      </c>
      <c r="X134" t="s">
        <v>1427</v>
      </c>
    </row>
    <row r="135" spans="1:24" x14ac:dyDescent="0.2">
      <c r="A135" s="15" t="s">
        <v>103</v>
      </c>
      <c r="B135" s="15">
        <v>1996</v>
      </c>
      <c r="C135" t="s">
        <v>1425</v>
      </c>
      <c r="D135" t="s">
        <v>1427</v>
      </c>
      <c r="E135" t="s">
        <v>1425</v>
      </c>
      <c r="F135" t="s">
        <v>1426</v>
      </c>
      <c r="G135" t="s">
        <v>1426</v>
      </c>
      <c r="H135" t="s">
        <v>1425</v>
      </c>
      <c r="I135" t="s">
        <v>1427</v>
      </c>
      <c r="J135" t="s">
        <v>1425</v>
      </c>
      <c r="K135" t="s">
        <v>1426</v>
      </c>
      <c r="L135" t="s">
        <v>1427</v>
      </c>
      <c r="M135" t="s">
        <v>1425</v>
      </c>
      <c r="N135" t="s">
        <v>1425</v>
      </c>
      <c r="O135" t="s">
        <v>1425</v>
      </c>
      <c r="P135" t="s">
        <v>1425</v>
      </c>
      <c r="Q135" t="s">
        <v>1425</v>
      </c>
      <c r="R135" t="s">
        <v>1425</v>
      </c>
      <c r="S135" t="s">
        <v>1426</v>
      </c>
      <c r="T135" t="s">
        <v>1427</v>
      </c>
      <c r="U135" t="s">
        <v>1427</v>
      </c>
      <c r="V135" t="s">
        <v>1427</v>
      </c>
      <c r="W135" t="s">
        <v>1425</v>
      </c>
      <c r="X135" t="s">
        <v>1427</v>
      </c>
    </row>
    <row r="136" spans="1:24" x14ac:dyDescent="0.2">
      <c r="A136" s="31" t="s">
        <v>344</v>
      </c>
      <c r="B136" s="31">
        <v>2001</v>
      </c>
      <c r="C136" t="s">
        <v>1427</v>
      </c>
      <c r="D136" t="s">
        <v>1427</v>
      </c>
      <c r="E136" t="s">
        <v>1427</v>
      </c>
      <c r="F136" t="s">
        <v>1427</v>
      </c>
      <c r="G136" t="s">
        <v>1427</v>
      </c>
      <c r="H136" t="s">
        <v>1427</v>
      </c>
      <c r="I136" t="s">
        <v>1427</v>
      </c>
      <c r="J136" t="s">
        <v>1427</v>
      </c>
      <c r="K136" t="s">
        <v>1427</v>
      </c>
      <c r="L136" t="s">
        <v>1427</v>
      </c>
      <c r="M136" t="s">
        <v>1427</v>
      </c>
      <c r="N136" t="s">
        <v>1427</v>
      </c>
      <c r="O136" t="s">
        <v>1427</v>
      </c>
      <c r="P136" t="s">
        <v>1427</v>
      </c>
      <c r="Q136" t="s">
        <v>1427</v>
      </c>
      <c r="R136" t="s">
        <v>1427</v>
      </c>
      <c r="S136" t="s">
        <v>1427</v>
      </c>
      <c r="T136" t="s">
        <v>1427</v>
      </c>
      <c r="U136" t="s">
        <v>1427</v>
      </c>
      <c r="V136" t="s">
        <v>1427</v>
      </c>
      <c r="W136" t="s">
        <v>1427</v>
      </c>
      <c r="X136" t="s">
        <v>1427</v>
      </c>
    </row>
    <row r="137" spans="1:24" x14ac:dyDescent="0.2">
      <c r="A137" s="15" t="s">
        <v>104</v>
      </c>
      <c r="B137" s="15">
        <v>2019</v>
      </c>
      <c r="C137" t="s">
        <v>1425</v>
      </c>
      <c r="D137" t="s">
        <v>1425</v>
      </c>
      <c r="E137" t="s">
        <v>1425</v>
      </c>
      <c r="F137" t="s">
        <v>1426</v>
      </c>
      <c r="G137" t="s">
        <v>1426</v>
      </c>
      <c r="H137" t="s">
        <v>1427</v>
      </c>
      <c r="I137" t="s">
        <v>1427</v>
      </c>
      <c r="J137" t="s">
        <v>1427</v>
      </c>
      <c r="K137" t="s">
        <v>1426</v>
      </c>
      <c r="L137" t="s">
        <v>1425</v>
      </c>
      <c r="M137" t="s">
        <v>1425</v>
      </c>
      <c r="N137" t="s">
        <v>1425</v>
      </c>
      <c r="O137" t="s">
        <v>1425</v>
      </c>
      <c r="P137" t="s">
        <v>1425</v>
      </c>
      <c r="Q137" t="s">
        <v>1425</v>
      </c>
      <c r="R137" t="s">
        <v>1425</v>
      </c>
      <c r="S137" t="s">
        <v>1426</v>
      </c>
      <c r="T137" t="s">
        <v>1427</v>
      </c>
      <c r="U137" t="s">
        <v>1425</v>
      </c>
      <c r="V137" t="s">
        <v>1427</v>
      </c>
      <c r="W137" t="s">
        <v>1425</v>
      </c>
      <c r="X137" t="s">
        <v>1427</v>
      </c>
    </row>
    <row r="138" spans="1:24" x14ac:dyDescent="0.2">
      <c r="A138" s="31" t="s">
        <v>1381</v>
      </c>
      <c r="B138" s="31">
        <v>2016</v>
      </c>
      <c r="C138" t="s">
        <v>1426</v>
      </c>
      <c r="D138" t="s">
        <v>1426</v>
      </c>
      <c r="E138" t="s">
        <v>1426</v>
      </c>
      <c r="F138" t="s">
        <v>1426</v>
      </c>
      <c r="G138" t="s">
        <v>1426</v>
      </c>
      <c r="H138" t="s">
        <v>1427</v>
      </c>
      <c r="I138" t="s">
        <v>1427</v>
      </c>
      <c r="J138" t="s">
        <v>1427</v>
      </c>
      <c r="K138" t="s">
        <v>1426</v>
      </c>
      <c r="L138" t="s">
        <v>1427</v>
      </c>
      <c r="M138" t="s">
        <v>1427</v>
      </c>
      <c r="N138" t="s">
        <v>1427</v>
      </c>
      <c r="O138" t="s">
        <v>1427</v>
      </c>
      <c r="P138" t="s">
        <v>1427</v>
      </c>
      <c r="Q138" t="s">
        <v>1425</v>
      </c>
      <c r="R138" t="s">
        <v>1425</v>
      </c>
      <c r="S138" t="s">
        <v>1426</v>
      </c>
      <c r="T138" t="s">
        <v>1427</v>
      </c>
      <c r="U138" t="s">
        <v>1427</v>
      </c>
      <c r="V138" t="s">
        <v>1426</v>
      </c>
      <c r="W138" t="s">
        <v>1425</v>
      </c>
      <c r="X138" t="s">
        <v>1426</v>
      </c>
    </row>
    <row r="139" spans="1:24" x14ac:dyDescent="0.2">
      <c r="A139" s="31" t="s">
        <v>59</v>
      </c>
      <c r="B139" s="31">
        <v>1994</v>
      </c>
      <c r="C139" t="s">
        <v>1425</v>
      </c>
      <c r="D139" t="s">
        <v>1427</v>
      </c>
      <c r="E139" t="s">
        <v>1425</v>
      </c>
      <c r="F139" t="s">
        <v>1426</v>
      </c>
      <c r="G139" t="s">
        <v>1426</v>
      </c>
      <c r="H139" t="s">
        <v>1427</v>
      </c>
      <c r="I139" t="s">
        <v>1427</v>
      </c>
      <c r="J139" t="s">
        <v>1427</v>
      </c>
      <c r="K139" t="s">
        <v>1427</v>
      </c>
      <c r="L139" t="s">
        <v>1427</v>
      </c>
      <c r="M139" t="s">
        <v>1425</v>
      </c>
      <c r="N139" t="s">
        <v>1425</v>
      </c>
      <c r="O139" t="s">
        <v>1427</v>
      </c>
      <c r="P139" t="s">
        <v>1427</v>
      </c>
      <c r="Q139" t="s">
        <v>1425</v>
      </c>
      <c r="R139" t="s">
        <v>1425</v>
      </c>
      <c r="S139" t="s">
        <v>1426</v>
      </c>
      <c r="T139" t="s">
        <v>1427</v>
      </c>
      <c r="U139" t="s">
        <v>1425</v>
      </c>
      <c r="V139" t="s">
        <v>1427</v>
      </c>
      <c r="W139" t="s">
        <v>1425</v>
      </c>
      <c r="X139" t="s">
        <v>1427</v>
      </c>
    </row>
    <row r="140" spans="1:24" x14ac:dyDescent="0.2">
      <c r="A140" s="31" t="s">
        <v>59</v>
      </c>
      <c r="B140" s="31">
        <v>1990</v>
      </c>
      <c r="C140" t="s">
        <v>1425</v>
      </c>
      <c r="D140" t="s">
        <v>1427</v>
      </c>
      <c r="E140" t="s">
        <v>1425</v>
      </c>
      <c r="F140" t="s">
        <v>1426</v>
      </c>
      <c r="G140" t="s">
        <v>1426</v>
      </c>
      <c r="H140" t="s">
        <v>1427</v>
      </c>
      <c r="I140" t="s">
        <v>1427</v>
      </c>
      <c r="J140" t="s">
        <v>1427</v>
      </c>
      <c r="K140" t="s">
        <v>1427</v>
      </c>
      <c r="L140" t="s">
        <v>1427</v>
      </c>
      <c r="M140" t="s">
        <v>1425</v>
      </c>
      <c r="N140" t="s">
        <v>1425</v>
      </c>
      <c r="O140" t="s">
        <v>1427</v>
      </c>
      <c r="P140" t="s">
        <v>1427</v>
      </c>
      <c r="Q140" t="s">
        <v>1425</v>
      </c>
      <c r="R140" t="s">
        <v>1425</v>
      </c>
      <c r="S140" t="s">
        <v>1426</v>
      </c>
      <c r="T140" t="s">
        <v>1427</v>
      </c>
      <c r="U140" t="s">
        <v>1425</v>
      </c>
      <c r="V140" t="s">
        <v>1427</v>
      </c>
      <c r="W140" t="s">
        <v>1425</v>
      </c>
      <c r="X140" t="s">
        <v>1427</v>
      </c>
    </row>
    <row r="141" spans="1:24" x14ac:dyDescent="0.2">
      <c r="A141" s="15" t="s">
        <v>1261</v>
      </c>
      <c r="B141" s="15">
        <v>2009</v>
      </c>
      <c r="C141" t="s">
        <v>1425</v>
      </c>
      <c r="D141" t="s">
        <v>1427</v>
      </c>
      <c r="E141" t="s">
        <v>1425</v>
      </c>
      <c r="F141" t="s">
        <v>1426</v>
      </c>
      <c r="G141" t="s">
        <v>1426</v>
      </c>
      <c r="H141" t="s">
        <v>1427</v>
      </c>
      <c r="I141" t="s">
        <v>1427</v>
      </c>
      <c r="J141" t="s">
        <v>1427</v>
      </c>
      <c r="K141" t="s">
        <v>1427</v>
      </c>
      <c r="L141" t="s">
        <v>1427</v>
      </c>
      <c r="M141" t="s">
        <v>1427</v>
      </c>
      <c r="N141" t="s">
        <v>1427</v>
      </c>
      <c r="O141" t="s">
        <v>1427</v>
      </c>
      <c r="P141" t="s">
        <v>1427</v>
      </c>
      <c r="Q141" t="s">
        <v>1425</v>
      </c>
      <c r="R141" t="s">
        <v>1425</v>
      </c>
      <c r="S141" t="s">
        <v>1426</v>
      </c>
      <c r="T141" t="s">
        <v>1427</v>
      </c>
      <c r="U141" t="s">
        <v>1425</v>
      </c>
      <c r="V141" t="s">
        <v>1427</v>
      </c>
      <c r="W141" t="s">
        <v>1425</v>
      </c>
      <c r="X141" t="s">
        <v>1427</v>
      </c>
    </row>
    <row r="142" spans="1:24" x14ac:dyDescent="0.2">
      <c r="A142" s="30" t="s">
        <v>813</v>
      </c>
      <c r="B142" s="31">
        <v>2008</v>
      </c>
    </row>
    <row r="143" spans="1:24" x14ac:dyDescent="0.2">
      <c r="A143" s="31" t="s">
        <v>926</v>
      </c>
      <c r="B143" s="31">
        <v>2010</v>
      </c>
    </row>
    <row r="144" spans="1:24" x14ac:dyDescent="0.2">
      <c r="A144" s="15" t="s">
        <v>475</v>
      </c>
      <c r="B144" s="15">
        <v>2006</v>
      </c>
      <c r="C144" t="s">
        <v>1426</v>
      </c>
      <c r="D144" t="s">
        <v>1426</v>
      </c>
      <c r="E144" t="s">
        <v>1426</v>
      </c>
      <c r="F144" t="s">
        <v>1426</v>
      </c>
      <c r="G144" t="s">
        <v>1426</v>
      </c>
      <c r="H144" t="s">
        <v>1427</v>
      </c>
      <c r="I144" t="s">
        <v>1427</v>
      </c>
      <c r="J144" t="s">
        <v>1427</v>
      </c>
      <c r="K144" t="s">
        <v>1427</v>
      </c>
      <c r="L144" t="s">
        <v>1427</v>
      </c>
      <c r="M144" t="s">
        <v>1427</v>
      </c>
      <c r="N144" t="s">
        <v>1427</v>
      </c>
      <c r="O144" t="s">
        <v>1427</v>
      </c>
      <c r="P144" t="s">
        <v>1427</v>
      </c>
      <c r="Q144" t="s">
        <v>1425</v>
      </c>
      <c r="R144" t="s">
        <v>1425</v>
      </c>
      <c r="S144" t="s">
        <v>1426</v>
      </c>
      <c r="T144" t="s">
        <v>1427</v>
      </c>
      <c r="U144" t="s">
        <v>1425</v>
      </c>
      <c r="V144" t="s">
        <v>1426</v>
      </c>
      <c r="W144" t="s">
        <v>1425</v>
      </c>
      <c r="X144" t="s">
        <v>1426</v>
      </c>
    </row>
    <row r="145" spans="1:24" x14ac:dyDescent="0.2">
      <c r="A145" s="31" t="s">
        <v>1210</v>
      </c>
      <c r="B145" s="31">
        <v>1995</v>
      </c>
      <c r="C145" t="s">
        <v>1425</v>
      </c>
      <c r="D145" t="s">
        <v>1427</v>
      </c>
      <c r="E145" t="s">
        <v>1425</v>
      </c>
      <c r="F145" t="s">
        <v>1426</v>
      </c>
      <c r="G145" t="s">
        <v>1426</v>
      </c>
      <c r="H145" t="s">
        <v>1427</v>
      </c>
      <c r="I145" t="s">
        <v>1427</v>
      </c>
      <c r="J145" t="s">
        <v>1427</v>
      </c>
      <c r="K145" t="s">
        <v>1427</v>
      </c>
      <c r="L145" t="s">
        <v>1427</v>
      </c>
      <c r="M145" t="s">
        <v>1427</v>
      </c>
      <c r="N145" t="s">
        <v>1427</v>
      </c>
      <c r="O145" t="s">
        <v>1427</v>
      </c>
      <c r="P145" t="s">
        <v>1427</v>
      </c>
      <c r="Q145" t="s">
        <v>1425</v>
      </c>
      <c r="R145" t="s">
        <v>1425</v>
      </c>
      <c r="S145" t="s">
        <v>1426</v>
      </c>
      <c r="T145" t="s">
        <v>1427</v>
      </c>
      <c r="U145" t="s">
        <v>1427</v>
      </c>
      <c r="V145" t="s">
        <v>1427</v>
      </c>
      <c r="W145" t="s">
        <v>1425</v>
      </c>
      <c r="X145" t="s">
        <v>1427</v>
      </c>
    </row>
    <row r="146" spans="1:24" x14ac:dyDescent="0.2">
      <c r="A146" s="15" t="s">
        <v>17</v>
      </c>
      <c r="B146" s="15">
        <v>1999</v>
      </c>
    </row>
    <row r="147" spans="1:24" x14ac:dyDescent="0.2">
      <c r="A147" s="15" t="s">
        <v>170</v>
      </c>
      <c r="B147" s="15">
        <v>2006</v>
      </c>
      <c r="C147" t="s">
        <v>1425</v>
      </c>
      <c r="D147" t="s">
        <v>1425</v>
      </c>
      <c r="E147" t="s">
        <v>1425</v>
      </c>
      <c r="F147" t="s">
        <v>1425</v>
      </c>
      <c r="G147" t="s">
        <v>1425</v>
      </c>
      <c r="H147" t="s">
        <v>1425</v>
      </c>
      <c r="I147" t="s">
        <v>1425</v>
      </c>
      <c r="J147" t="s">
        <v>1425</v>
      </c>
      <c r="K147" t="s">
        <v>1425</v>
      </c>
      <c r="L147" t="s">
        <v>1425</v>
      </c>
      <c r="M147" t="s">
        <v>1425</v>
      </c>
      <c r="N147" t="s">
        <v>1425</v>
      </c>
      <c r="O147" t="s">
        <v>1425</v>
      </c>
      <c r="P147" t="s">
        <v>1425</v>
      </c>
      <c r="Q147" t="s">
        <v>1425</v>
      </c>
      <c r="R147" t="s">
        <v>1425</v>
      </c>
      <c r="S147" t="s">
        <v>1425</v>
      </c>
      <c r="T147" t="s">
        <v>1425</v>
      </c>
      <c r="U147" t="s">
        <v>1425</v>
      </c>
      <c r="V147" t="s">
        <v>1425</v>
      </c>
      <c r="W147" t="s">
        <v>1425</v>
      </c>
      <c r="X147" t="s">
        <v>1425</v>
      </c>
    </row>
    <row r="148" spans="1:24" x14ac:dyDescent="0.2">
      <c r="A148" s="31" t="s">
        <v>241</v>
      </c>
      <c r="B148" s="31">
        <v>2002</v>
      </c>
      <c r="C148" t="s">
        <v>1425</v>
      </c>
      <c r="D148" t="s">
        <v>1427</v>
      </c>
      <c r="E148" t="s">
        <v>1427</v>
      </c>
      <c r="F148" t="s">
        <v>1425</v>
      </c>
      <c r="G148" t="s">
        <v>1425</v>
      </c>
      <c r="H148" t="s">
        <v>1427</v>
      </c>
      <c r="I148" t="s">
        <v>1425</v>
      </c>
      <c r="J148" t="s">
        <v>1427</v>
      </c>
      <c r="K148" t="s">
        <v>1427</v>
      </c>
      <c r="L148" t="s">
        <v>1427</v>
      </c>
      <c r="M148" t="s">
        <v>1427</v>
      </c>
      <c r="N148" t="s">
        <v>1427</v>
      </c>
      <c r="O148" t="s">
        <v>1425</v>
      </c>
      <c r="P148" t="s">
        <v>1425</v>
      </c>
      <c r="Q148" t="s">
        <v>1425</v>
      </c>
      <c r="R148" t="s">
        <v>1427</v>
      </c>
      <c r="S148" t="s">
        <v>1427</v>
      </c>
      <c r="T148" t="s">
        <v>1427</v>
      </c>
      <c r="U148" t="s">
        <v>1425</v>
      </c>
      <c r="V148" t="s">
        <v>1425</v>
      </c>
      <c r="W148" t="s">
        <v>1427</v>
      </c>
      <c r="X148" t="s">
        <v>1427</v>
      </c>
    </row>
    <row r="149" spans="1:24" x14ac:dyDescent="0.2">
      <c r="A149" s="31" t="s">
        <v>195</v>
      </c>
      <c r="B149" s="31">
        <v>2012</v>
      </c>
      <c r="C149" t="s">
        <v>1425</v>
      </c>
      <c r="D149" t="s">
        <v>1427</v>
      </c>
      <c r="E149" t="s">
        <v>1425</v>
      </c>
      <c r="F149" t="s">
        <v>1426</v>
      </c>
      <c r="G149" t="s">
        <v>1426</v>
      </c>
      <c r="H149" t="s">
        <v>1427</v>
      </c>
      <c r="I149" t="s">
        <v>1425</v>
      </c>
      <c r="J149" t="s">
        <v>1427</v>
      </c>
      <c r="K149" t="s">
        <v>1426</v>
      </c>
      <c r="L149" t="s">
        <v>1427</v>
      </c>
      <c r="M149" t="s">
        <v>1425</v>
      </c>
      <c r="N149" t="s">
        <v>1425</v>
      </c>
      <c r="O149" t="s">
        <v>1425</v>
      </c>
      <c r="P149" t="s">
        <v>1425</v>
      </c>
      <c r="Q149" t="s">
        <v>1425</v>
      </c>
      <c r="R149" t="s">
        <v>1425</v>
      </c>
      <c r="S149" t="s">
        <v>1426</v>
      </c>
      <c r="T149" t="s">
        <v>1427</v>
      </c>
      <c r="U149" t="s">
        <v>1427</v>
      </c>
      <c r="V149" t="s">
        <v>1427</v>
      </c>
      <c r="W149" t="s">
        <v>1425</v>
      </c>
      <c r="X149" t="s">
        <v>1427</v>
      </c>
    </row>
    <row r="150" spans="1:24" x14ac:dyDescent="0.2">
      <c r="A150" s="31" t="s">
        <v>1021</v>
      </c>
      <c r="B150" s="31">
        <v>2019</v>
      </c>
      <c r="C150" t="s">
        <v>1427</v>
      </c>
      <c r="D150" t="s">
        <v>1427</v>
      </c>
      <c r="E150" t="s">
        <v>1425</v>
      </c>
      <c r="F150" t="s">
        <v>1425</v>
      </c>
      <c r="G150" t="s">
        <v>1425</v>
      </c>
      <c r="H150" t="s">
        <v>1425</v>
      </c>
      <c r="I150" t="s">
        <v>1425</v>
      </c>
      <c r="J150" t="s">
        <v>1425</v>
      </c>
      <c r="K150" t="s">
        <v>1425</v>
      </c>
      <c r="L150" t="s">
        <v>1425</v>
      </c>
      <c r="M150" t="s">
        <v>1425</v>
      </c>
      <c r="N150" t="s">
        <v>1425</v>
      </c>
      <c r="O150" t="s">
        <v>1425</v>
      </c>
      <c r="P150" t="s">
        <v>1425</v>
      </c>
      <c r="Q150" t="s">
        <v>1425</v>
      </c>
      <c r="R150" t="s">
        <v>1425</v>
      </c>
      <c r="S150" t="s">
        <v>1425</v>
      </c>
      <c r="T150" t="s">
        <v>1425</v>
      </c>
      <c r="U150" t="s">
        <v>1425</v>
      </c>
      <c r="V150" t="s">
        <v>1425</v>
      </c>
      <c r="W150" t="s">
        <v>1425</v>
      </c>
      <c r="X150" t="s">
        <v>1425</v>
      </c>
    </row>
    <row r="151" spans="1:24" x14ac:dyDescent="0.2">
      <c r="A151" s="31" t="s">
        <v>247</v>
      </c>
      <c r="B151" s="31">
        <v>1998</v>
      </c>
      <c r="C151" t="s">
        <v>1425</v>
      </c>
      <c r="D151" t="s">
        <v>1427</v>
      </c>
      <c r="E151" t="s">
        <v>1427</v>
      </c>
      <c r="F151" t="s">
        <v>1427</v>
      </c>
      <c r="G151" t="s">
        <v>1427</v>
      </c>
      <c r="H151" t="s">
        <v>1427</v>
      </c>
      <c r="I151" t="s">
        <v>1427</v>
      </c>
      <c r="J151" t="s">
        <v>1427</v>
      </c>
      <c r="K151" t="s">
        <v>1427</v>
      </c>
      <c r="L151" t="s">
        <v>1427</v>
      </c>
      <c r="M151" t="s">
        <v>1427</v>
      </c>
      <c r="N151" t="s">
        <v>1427</v>
      </c>
      <c r="O151" t="s">
        <v>1425</v>
      </c>
      <c r="P151" t="s">
        <v>1425</v>
      </c>
      <c r="Q151" t="s">
        <v>1425</v>
      </c>
      <c r="R151" t="s">
        <v>1427</v>
      </c>
      <c r="S151" t="s">
        <v>1427</v>
      </c>
      <c r="T151" t="s">
        <v>1427</v>
      </c>
      <c r="U151" t="s">
        <v>1425</v>
      </c>
      <c r="V151" t="s">
        <v>1427</v>
      </c>
      <c r="W151" t="s">
        <v>1427</v>
      </c>
      <c r="X151" t="s">
        <v>1427</v>
      </c>
    </row>
    <row r="152" spans="1:24" x14ac:dyDescent="0.2">
      <c r="A152" s="15" t="s">
        <v>172</v>
      </c>
      <c r="B152" s="15">
        <v>2014</v>
      </c>
      <c r="C152" t="s">
        <v>1427</v>
      </c>
      <c r="D152" t="s">
        <v>1427</v>
      </c>
      <c r="E152" t="s">
        <v>1425</v>
      </c>
      <c r="F152" t="s">
        <v>1426</v>
      </c>
      <c r="G152" t="s">
        <v>1426</v>
      </c>
      <c r="H152" t="s">
        <v>1427</v>
      </c>
      <c r="I152" t="s">
        <v>1427</v>
      </c>
      <c r="J152" t="s">
        <v>1427</v>
      </c>
      <c r="K152" t="s">
        <v>1426</v>
      </c>
      <c r="L152" t="s">
        <v>1427</v>
      </c>
      <c r="M152" t="s">
        <v>1425</v>
      </c>
      <c r="N152" t="s">
        <v>1425</v>
      </c>
      <c r="O152" t="s">
        <v>1427</v>
      </c>
      <c r="P152" t="s">
        <v>1427</v>
      </c>
      <c r="Q152" t="s">
        <v>1425</v>
      </c>
      <c r="R152" t="s">
        <v>1425</v>
      </c>
      <c r="S152" t="s">
        <v>1426</v>
      </c>
      <c r="T152" t="s">
        <v>1427</v>
      </c>
      <c r="U152" t="s">
        <v>1427</v>
      </c>
      <c r="V152" t="s">
        <v>1427</v>
      </c>
      <c r="W152" t="s">
        <v>1427</v>
      </c>
      <c r="X152" t="s">
        <v>1427</v>
      </c>
    </row>
    <row r="153" spans="1:24" x14ac:dyDescent="0.2">
      <c r="A153" s="15" t="s">
        <v>174</v>
      </c>
      <c r="B153" s="15">
        <v>2009</v>
      </c>
      <c r="C153" t="s">
        <v>1425</v>
      </c>
      <c r="D153" t="s">
        <v>1425</v>
      </c>
      <c r="E153" t="s">
        <v>1425</v>
      </c>
      <c r="F153" t="s">
        <v>1425</v>
      </c>
      <c r="G153" t="s">
        <v>1425</v>
      </c>
      <c r="H153" t="s">
        <v>1425</v>
      </c>
      <c r="I153" t="s">
        <v>1425</v>
      </c>
      <c r="J153" t="s">
        <v>1425</v>
      </c>
      <c r="K153" t="s">
        <v>1426</v>
      </c>
      <c r="L153" t="s">
        <v>1427</v>
      </c>
      <c r="M153" t="s">
        <v>1425</v>
      </c>
      <c r="N153" t="s">
        <v>1425</v>
      </c>
      <c r="O153" t="s">
        <v>1427</v>
      </c>
      <c r="P153" t="s">
        <v>1427</v>
      </c>
      <c r="Q153" t="s">
        <v>1425</v>
      </c>
      <c r="R153" t="s">
        <v>1425</v>
      </c>
      <c r="S153" t="s">
        <v>1425</v>
      </c>
      <c r="T153" t="s">
        <v>1425</v>
      </c>
      <c r="U153" t="s">
        <v>1425</v>
      </c>
      <c r="V153" t="s">
        <v>1427</v>
      </c>
      <c r="W153" t="s">
        <v>1427</v>
      </c>
      <c r="X153" t="s">
        <v>1427</v>
      </c>
    </row>
    <row r="154" spans="1:24" x14ac:dyDescent="0.2">
      <c r="A154" s="31" t="s">
        <v>925</v>
      </c>
      <c r="B154" s="31">
        <v>2010</v>
      </c>
    </row>
    <row r="155" spans="1:24" x14ac:dyDescent="0.2">
      <c r="A155" s="15" t="s">
        <v>18</v>
      </c>
      <c r="B155" s="15">
        <v>2004</v>
      </c>
      <c r="C155" t="s">
        <v>1427</v>
      </c>
      <c r="D155" t="s">
        <v>1427</v>
      </c>
      <c r="E155" t="s">
        <v>1425</v>
      </c>
      <c r="F155" t="s">
        <v>1425</v>
      </c>
      <c r="G155" t="s">
        <v>1425</v>
      </c>
      <c r="H155" t="s">
        <v>1425</v>
      </c>
      <c r="I155" t="s">
        <v>1425</v>
      </c>
      <c r="J155" t="s">
        <v>1425</v>
      </c>
      <c r="K155" t="s">
        <v>1426</v>
      </c>
      <c r="L155" t="s">
        <v>1427</v>
      </c>
      <c r="M155" t="s">
        <v>1425</v>
      </c>
      <c r="N155" t="s">
        <v>1425</v>
      </c>
      <c r="O155" t="s">
        <v>1427</v>
      </c>
      <c r="P155" t="s">
        <v>1427</v>
      </c>
      <c r="Q155" t="s">
        <v>1425</v>
      </c>
      <c r="R155" t="s">
        <v>1425</v>
      </c>
      <c r="S155" t="s">
        <v>1425</v>
      </c>
      <c r="T155" t="s">
        <v>1425</v>
      </c>
      <c r="U155" t="s">
        <v>1425</v>
      </c>
      <c r="V155" t="s">
        <v>1427</v>
      </c>
      <c r="W155" t="s">
        <v>1427</v>
      </c>
      <c r="X155" t="s">
        <v>1427</v>
      </c>
    </row>
    <row r="156" spans="1:24" x14ac:dyDescent="0.2">
      <c r="A156" s="31" t="s">
        <v>1020</v>
      </c>
      <c r="B156" s="31">
        <v>2014</v>
      </c>
      <c r="C156" t="s">
        <v>1427</v>
      </c>
      <c r="D156" t="s">
        <v>1427</v>
      </c>
      <c r="E156" t="s">
        <v>1425</v>
      </c>
      <c r="F156" t="s">
        <v>1426</v>
      </c>
      <c r="G156" t="s">
        <v>1426</v>
      </c>
      <c r="H156" t="s">
        <v>1427</v>
      </c>
      <c r="I156" t="s">
        <v>1427</v>
      </c>
      <c r="J156" t="s">
        <v>1427</v>
      </c>
      <c r="K156" t="s">
        <v>1426</v>
      </c>
      <c r="L156" t="s">
        <v>1427</v>
      </c>
      <c r="M156" t="s">
        <v>1425</v>
      </c>
      <c r="N156" t="s">
        <v>1425</v>
      </c>
      <c r="O156" t="s">
        <v>1427</v>
      </c>
      <c r="P156" t="s">
        <v>1427</v>
      </c>
      <c r="Q156" t="s">
        <v>1425</v>
      </c>
      <c r="R156" t="s">
        <v>1425</v>
      </c>
      <c r="S156" t="s">
        <v>1426</v>
      </c>
      <c r="T156" t="s">
        <v>1427</v>
      </c>
      <c r="U156" t="s">
        <v>1427</v>
      </c>
      <c r="V156" t="s">
        <v>1427</v>
      </c>
      <c r="W156" t="s">
        <v>1427</v>
      </c>
      <c r="X156" t="s">
        <v>1427</v>
      </c>
    </row>
    <row r="157" spans="1:24" x14ac:dyDescent="0.2">
      <c r="A157" s="15" t="s">
        <v>191</v>
      </c>
      <c r="B157" s="15">
        <v>2003</v>
      </c>
      <c r="C157" t="s">
        <v>1427</v>
      </c>
      <c r="D157" t="s">
        <v>1427</v>
      </c>
      <c r="E157" t="s">
        <v>1425</v>
      </c>
      <c r="F157" t="s">
        <v>1425</v>
      </c>
      <c r="G157" t="s">
        <v>1425</v>
      </c>
      <c r="H157" t="s">
        <v>1425</v>
      </c>
      <c r="I157" t="s">
        <v>1425</v>
      </c>
      <c r="J157" t="s">
        <v>1425</v>
      </c>
      <c r="K157" t="s">
        <v>1426</v>
      </c>
      <c r="L157" t="s">
        <v>1427</v>
      </c>
      <c r="M157" t="s">
        <v>1425</v>
      </c>
      <c r="N157" t="s">
        <v>1425</v>
      </c>
      <c r="O157" t="s">
        <v>1427</v>
      </c>
      <c r="P157" t="s">
        <v>1427</v>
      </c>
      <c r="Q157" t="s">
        <v>1425</v>
      </c>
      <c r="R157" t="s">
        <v>1425</v>
      </c>
      <c r="S157" t="s">
        <v>1425</v>
      </c>
      <c r="T157" t="s">
        <v>1425</v>
      </c>
      <c r="U157" t="s">
        <v>1425</v>
      </c>
      <c r="V157" t="s">
        <v>1427</v>
      </c>
      <c r="W157" t="s">
        <v>1427</v>
      </c>
      <c r="X157" t="s">
        <v>1427</v>
      </c>
    </row>
    <row r="158" spans="1:24" x14ac:dyDescent="0.2">
      <c r="A158" s="31" t="s">
        <v>191</v>
      </c>
      <c r="B158" s="31">
        <v>2008</v>
      </c>
      <c r="C158" t="s">
        <v>1425</v>
      </c>
      <c r="D158" t="s">
        <v>1425</v>
      </c>
      <c r="E158" t="s">
        <v>1425</v>
      </c>
      <c r="F158" t="s">
        <v>1425</v>
      </c>
      <c r="G158" t="s">
        <v>1425</v>
      </c>
      <c r="H158" t="s">
        <v>1425</v>
      </c>
      <c r="I158" t="s">
        <v>1425</v>
      </c>
      <c r="J158" t="s">
        <v>1425</v>
      </c>
      <c r="K158" t="s">
        <v>1426</v>
      </c>
      <c r="L158" t="s">
        <v>1427</v>
      </c>
      <c r="M158" t="s">
        <v>1425</v>
      </c>
      <c r="N158" t="s">
        <v>1425</v>
      </c>
      <c r="O158" t="s">
        <v>1425</v>
      </c>
      <c r="P158" t="s">
        <v>1425</v>
      </c>
      <c r="Q158" t="s">
        <v>1425</v>
      </c>
      <c r="R158" t="s">
        <v>1425</v>
      </c>
      <c r="S158" t="s">
        <v>1425</v>
      </c>
      <c r="T158" t="s">
        <v>1425</v>
      </c>
      <c r="U158" t="s">
        <v>1425</v>
      </c>
      <c r="V158" t="s">
        <v>1425</v>
      </c>
      <c r="W158" t="s">
        <v>1425</v>
      </c>
      <c r="X158" t="s">
        <v>1425</v>
      </c>
    </row>
    <row r="159" spans="1:24" x14ac:dyDescent="0.2">
      <c r="A159" s="31" t="s">
        <v>209</v>
      </c>
      <c r="B159" s="31">
        <v>1998</v>
      </c>
      <c r="C159" t="s">
        <v>1427</v>
      </c>
      <c r="D159" t="s">
        <v>1427</v>
      </c>
      <c r="E159" t="s">
        <v>1425</v>
      </c>
      <c r="F159" t="s">
        <v>1425</v>
      </c>
      <c r="G159" t="s">
        <v>1425</v>
      </c>
      <c r="H159" t="s">
        <v>1425</v>
      </c>
      <c r="I159" t="s">
        <v>1425</v>
      </c>
      <c r="J159" t="s">
        <v>1425</v>
      </c>
      <c r="K159" t="s">
        <v>1426</v>
      </c>
      <c r="L159" t="s">
        <v>1427</v>
      </c>
      <c r="M159" t="s">
        <v>1425</v>
      </c>
      <c r="N159" t="s">
        <v>1425</v>
      </c>
      <c r="O159" t="s">
        <v>1427</v>
      </c>
      <c r="P159" t="s">
        <v>1427</v>
      </c>
      <c r="Q159" t="s">
        <v>1425</v>
      </c>
      <c r="R159" t="s">
        <v>1425</v>
      </c>
      <c r="S159" t="s">
        <v>1425</v>
      </c>
      <c r="T159" t="s">
        <v>1425</v>
      </c>
      <c r="U159" t="s">
        <v>1425</v>
      </c>
      <c r="V159" t="s">
        <v>1427</v>
      </c>
      <c r="W159" t="s">
        <v>1427</v>
      </c>
      <c r="X159" t="s">
        <v>1427</v>
      </c>
    </row>
    <row r="160" spans="1:24" x14ac:dyDescent="0.2">
      <c r="A160" s="31" t="s">
        <v>209</v>
      </c>
      <c r="B160" s="31">
        <v>2005</v>
      </c>
      <c r="C160" t="s">
        <v>1427</v>
      </c>
      <c r="D160" t="s">
        <v>1427</v>
      </c>
      <c r="E160" t="s">
        <v>1425</v>
      </c>
      <c r="F160" t="s">
        <v>1425</v>
      </c>
      <c r="G160" t="s">
        <v>1425</v>
      </c>
      <c r="H160" t="s">
        <v>1425</v>
      </c>
      <c r="I160" t="s">
        <v>1425</v>
      </c>
      <c r="J160" t="s">
        <v>1425</v>
      </c>
      <c r="K160" t="s">
        <v>1426</v>
      </c>
      <c r="L160" t="s">
        <v>1427</v>
      </c>
      <c r="M160" t="s">
        <v>1425</v>
      </c>
      <c r="N160" t="s">
        <v>1425</v>
      </c>
      <c r="O160" t="s">
        <v>1427</v>
      </c>
      <c r="P160" t="s">
        <v>1427</v>
      </c>
      <c r="Q160" t="s">
        <v>1425</v>
      </c>
      <c r="R160" t="s">
        <v>1425</v>
      </c>
      <c r="S160" t="s">
        <v>1425</v>
      </c>
      <c r="T160" t="s">
        <v>1425</v>
      </c>
      <c r="U160" t="s">
        <v>1425</v>
      </c>
      <c r="V160" t="s">
        <v>1427</v>
      </c>
      <c r="W160" t="s">
        <v>1427</v>
      </c>
      <c r="X160" t="s">
        <v>1427</v>
      </c>
    </row>
    <row r="161" spans="1:24" x14ac:dyDescent="0.2">
      <c r="A161" s="15" t="s">
        <v>90</v>
      </c>
      <c r="B161" s="15">
        <v>2010</v>
      </c>
      <c r="C161" t="s">
        <v>1427</v>
      </c>
      <c r="D161" t="s">
        <v>1427</v>
      </c>
      <c r="E161" t="s">
        <v>1427</v>
      </c>
      <c r="F161" t="s">
        <v>1427</v>
      </c>
      <c r="G161" t="s">
        <v>1427</v>
      </c>
      <c r="H161" t="s">
        <v>1427</v>
      </c>
      <c r="I161" t="s">
        <v>1427</v>
      </c>
      <c r="J161" t="s">
        <v>1427</v>
      </c>
      <c r="K161" t="s">
        <v>1427</v>
      </c>
      <c r="L161" t="s">
        <v>1427</v>
      </c>
      <c r="M161" t="s">
        <v>1427</v>
      </c>
      <c r="N161" t="s">
        <v>1427</v>
      </c>
      <c r="O161" t="s">
        <v>1427</v>
      </c>
      <c r="P161" t="s">
        <v>1427</v>
      </c>
      <c r="Q161" t="s">
        <v>1427</v>
      </c>
      <c r="R161" t="s">
        <v>1427</v>
      </c>
      <c r="S161" t="s">
        <v>1427</v>
      </c>
      <c r="T161" t="s">
        <v>1427</v>
      </c>
      <c r="U161" t="s">
        <v>1427</v>
      </c>
      <c r="V161" t="s">
        <v>1427</v>
      </c>
      <c r="W161" t="s">
        <v>1427</v>
      </c>
      <c r="X161" t="s">
        <v>1427</v>
      </c>
    </row>
    <row r="162" spans="1:24" x14ac:dyDescent="0.2">
      <c r="A162" s="15" t="s">
        <v>140</v>
      </c>
      <c r="B162" s="15">
        <v>2002</v>
      </c>
      <c r="C162" t="s">
        <v>1425</v>
      </c>
      <c r="D162" t="s">
        <v>1425</v>
      </c>
      <c r="E162" t="s">
        <v>1425</v>
      </c>
      <c r="F162" t="s">
        <v>1425</v>
      </c>
      <c r="G162" t="s">
        <v>1425</v>
      </c>
      <c r="H162" t="s">
        <v>1425</v>
      </c>
      <c r="I162" t="s">
        <v>1425</v>
      </c>
      <c r="J162" t="s">
        <v>1425</v>
      </c>
      <c r="K162" t="s">
        <v>1426</v>
      </c>
      <c r="L162" t="s">
        <v>1425</v>
      </c>
      <c r="M162" t="s">
        <v>1426</v>
      </c>
      <c r="N162" t="s">
        <v>1427</v>
      </c>
      <c r="O162" t="s">
        <v>1427</v>
      </c>
      <c r="P162" t="s">
        <v>1427</v>
      </c>
      <c r="Q162" t="s">
        <v>1425</v>
      </c>
      <c r="R162" t="s">
        <v>1425</v>
      </c>
      <c r="S162" t="s">
        <v>1425</v>
      </c>
      <c r="T162" t="s">
        <v>1425</v>
      </c>
      <c r="U162" t="s">
        <v>1425</v>
      </c>
      <c r="V162" t="s">
        <v>1427</v>
      </c>
      <c r="W162" t="s">
        <v>1425</v>
      </c>
      <c r="X162" t="s">
        <v>1425</v>
      </c>
    </row>
    <row r="163" spans="1:24" x14ac:dyDescent="0.2">
      <c r="A163" s="15" t="s">
        <v>230</v>
      </c>
      <c r="B163" s="15">
        <v>2000</v>
      </c>
      <c r="C163" t="s">
        <v>1425</v>
      </c>
      <c r="D163" t="s">
        <v>1427</v>
      </c>
      <c r="E163" t="s">
        <v>1425</v>
      </c>
      <c r="F163" t="s">
        <v>1426</v>
      </c>
      <c r="G163" t="s">
        <v>1426</v>
      </c>
      <c r="H163" t="s">
        <v>1425</v>
      </c>
      <c r="I163" t="s">
        <v>1427</v>
      </c>
      <c r="J163" t="s">
        <v>1427</v>
      </c>
      <c r="K163" t="s">
        <v>1426</v>
      </c>
      <c r="L163" t="s">
        <v>1427</v>
      </c>
      <c r="M163" t="s">
        <v>1425</v>
      </c>
      <c r="N163" t="s">
        <v>1427</v>
      </c>
      <c r="O163" t="s">
        <v>1427</v>
      </c>
      <c r="P163" t="s">
        <v>1427</v>
      </c>
      <c r="Q163" t="s">
        <v>1425</v>
      </c>
      <c r="R163" t="s">
        <v>1425</v>
      </c>
      <c r="S163" t="s">
        <v>1426</v>
      </c>
      <c r="T163" t="s">
        <v>1426</v>
      </c>
      <c r="U163" t="s">
        <v>1427</v>
      </c>
      <c r="V163" t="s">
        <v>1427</v>
      </c>
      <c r="W163" t="s">
        <v>1425</v>
      </c>
      <c r="X163" t="s">
        <v>1425</v>
      </c>
    </row>
    <row r="164" spans="1:24" x14ac:dyDescent="0.2">
      <c r="A164" s="15" t="s">
        <v>176</v>
      </c>
      <c r="B164" s="15">
        <v>1997</v>
      </c>
      <c r="C164" t="s">
        <v>1425</v>
      </c>
      <c r="D164" t="s">
        <v>1427</v>
      </c>
      <c r="E164" t="s">
        <v>1425</v>
      </c>
      <c r="F164" t="s">
        <v>1426</v>
      </c>
      <c r="G164" t="s">
        <v>1426</v>
      </c>
      <c r="H164" t="s">
        <v>1425</v>
      </c>
      <c r="I164" t="s">
        <v>1427</v>
      </c>
      <c r="J164" t="s">
        <v>1427</v>
      </c>
      <c r="K164" t="s">
        <v>1426</v>
      </c>
      <c r="L164" t="s">
        <v>1427</v>
      </c>
      <c r="M164" t="s">
        <v>1425</v>
      </c>
      <c r="N164" t="s">
        <v>1427</v>
      </c>
      <c r="O164" t="s">
        <v>1427</v>
      </c>
      <c r="P164" t="s">
        <v>1427</v>
      </c>
      <c r="Q164" t="s">
        <v>1425</v>
      </c>
      <c r="R164" t="s">
        <v>1425</v>
      </c>
      <c r="S164" t="s">
        <v>1426</v>
      </c>
      <c r="T164" t="s">
        <v>1426</v>
      </c>
      <c r="U164" t="s">
        <v>1427</v>
      </c>
      <c r="V164" t="s">
        <v>1427</v>
      </c>
      <c r="W164" t="s">
        <v>1425</v>
      </c>
      <c r="X164" t="s">
        <v>1425</v>
      </c>
    </row>
    <row r="165" spans="1:24" x14ac:dyDescent="0.2">
      <c r="A165" s="15" t="s">
        <v>176</v>
      </c>
      <c r="B165" s="15">
        <v>2002</v>
      </c>
      <c r="C165" t="s">
        <v>1425</v>
      </c>
      <c r="D165" t="s">
        <v>1427</v>
      </c>
      <c r="E165" t="s">
        <v>1425</v>
      </c>
      <c r="F165" t="s">
        <v>1425</v>
      </c>
      <c r="G165" t="s">
        <v>1425</v>
      </c>
      <c r="H165" t="s">
        <v>1425</v>
      </c>
      <c r="I165" t="s">
        <v>1425</v>
      </c>
      <c r="J165" t="s">
        <v>1425</v>
      </c>
      <c r="K165" t="s">
        <v>1426</v>
      </c>
      <c r="L165" t="s">
        <v>1425</v>
      </c>
      <c r="M165" t="s">
        <v>1425</v>
      </c>
      <c r="N165" t="s">
        <v>1427</v>
      </c>
      <c r="O165" t="s">
        <v>1427</v>
      </c>
      <c r="P165" t="s">
        <v>1427</v>
      </c>
      <c r="Q165" t="s">
        <v>1425</v>
      </c>
      <c r="R165" t="s">
        <v>1425</v>
      </c>
      <c r="S165" t="s">
        <v>1425</v>
      </c>
      <c r="T165" t="s">
        <v>1425</v>
      </c>
      <c r="U165" t="s">
        <v>1425</v>
      </c>
      <c r="V165" t="s">
        <v>1427</v>
      </c>
      <c r="W165" t="s">
        <v>1425</v>
      </c>
      <c r="X165" t="s">
        <v>1425</v>
      </c>
    </row>
    <row r="166" spans="1:24" x14ac:dyDescent="0.2">
      <c r="A166" s="31" t="s">
        <v>1235</v>
      </c>
      <c r="B166" s="31">
        <v>1991</v>
      </c>
      <c r="C166" t="s">
        <v>1425</v>
      </c>
      <c r="D166" t="s">
        <v>1427</v>
      </c>
      <c r="E166" t="s">
        <v>1427</v>
      </c>
      <c r="F166" t="s">
        <v>1427</v>
      </c>
      <c r="G166" t="s">
        <v>1427</v>
      </c>
      <c r="H166" t="s">
        <v>1427</v>
      </c>
      <c r="I166" t="s">
        <v>1427</v>
      </c>
      <c r="J166" t="s">
        <v>1427</v>
      </c>
      <c r="K166" t="s">
        <v>1427</v>
      </c>
      <c r="L166" t="s">
        <v>1427</v>
      </c>
      <c r="M166" t="s">
        <v>1427</v>
      </c>
      <c r="N166" t="s">
        <v>1427</v>
      </c>
      <c r="O166" t="s">
        <v>1425</v>
      </c>
      <c r="P166" t="s">
        <v>1425</v>
      </c>
      <c r="Q166" t="s">
        <v>1425</v>
      </c>
      <c r="R166" t="s">
        <v>1427</v>
      </c>
      <c r="S166" t="s">
        <v>1427</v>
      </c>
      <c r="T166" t="s">
        <v>1427</v>
      </c>
      <c r="U166" t="s">
        <v>1425</v>
      </c>
      <c r="V166" t="s">
        <v>1427</v>
      </c>
      <c r="W166" t="s">
        <v>1427</v>
      </c>
      <c r="X166" t="s">
        <v>1427</v>
      </c>
    </row>
    <row r="167" spans="1:24" x14ac:dyDescent="0.2">
      <c r="A167" s="31" t="s">
        <v>187</v>
      </c>
      <c r="B167" s="31">
        <v>2005</v>
      </c>
      <c r="C167" t="s">
        <v>1425</v>
      </c>
      <c r="D167" t="s">
        <v>1427</v>
      </c>
      <c r="E167" t="s">
        <v>1425</v>
      </c>
      <c r="F167" t="s">
        <v>1426</v>
      </c>
      <c r="G167" t="s">
        <v>1426</v>
      </c>
      <c r="H167" t="s">
        <v>1425</v>
      </c>
      <c r="I167" t="s">
        <v>1427</v>
      </c>
      <c r="J167" t="s">
        <v>1427</v>
      </c>
      <c r="K167" t="s">
        <v>1425</v>
      </c>
      <c r="L167" t="s">
        <v>1427</v>
      </c>
      <c r="M167" t="s">
        <v>1425</v>
      </c>
      <c r="N167" t="s">
        <v>1427</v>
      </c>
      <c r="O167" t="s">
        <v>1427</v>
      </c>
      <c r="P167" t="s">
        <v>1427</v>
      </c>
      <c r="Q167" t="s">
        <v>1425</v>
      </c>
      <c r="R167" t="s">
        <v>1425</v>
      </c>
      <c r="S167" t="s">
        <v>1426</v>
      </c>
      <c r="T167" t="s">
        <v>1426</v>
      </c>
      <c r="U167" t="s">
        <v>1427</v>
      </c>
      <c r="V167" t="s">
        <v>1427</v>
      </c>
      <c r="W167" t="s">
        <v>1425</v>
      </c>
      <c r="X167" t="s">
        <v>1425</v>
      </c>
    </row>
    <row r="168" spans="1:24" x14ac:dyDescent="0.2">
      <c r="A168" s="15" t="s">
        <v>859</v>
      </c>
      <c r="B168" s="15">
        <v>1993</v>
      </c>
    </row>
    <row r="169" spans="1:24" x14ac:dyDescent="0.2">
      <c r="A169" s="15" t="s">
        <v>95</v>
      </c>
      <c r="B169" s="15">
        <v>2022</v>
      </c>
      <c r="C169" t="s">
        <v>1425</v>
      </c>
      <c r="D169" t="s">
        <v>1425</v>
      </c>
      <c r="E169" t="s">
        <v>1425</v>
      </c>
      <c r="F169" t="s">
        <v>1425</v>
      </c>
      <c r="G169" t="s">
        <v>1425</v>
      </c>
      <c r="H169" t="s">
        <v>1425</v>
      </c>
      <c r="I169" t="s">
        <v>1425</v>
      </c>
      <c r="J169" t="s">
        <v>1425</v>
      </c>
      <c r="K169" t="s">
        <v>1425</v>
      </c>
      <c r="L169" t="s">
        <v>1425</v>
      </c>
      <c r="M169" t="s">
        <v>1425</v>
      </c>
      <c r="N169" t="s">
        <v>1425</v>
      </c>
      <c r="O169" t="s">
        <v>1425</v>
      </c>
      <c r="P169" t="s">
        <v>1425</v>
      </c>
      <c r="Q169" t="s">
        <v>1425</v>
      </c>
      <c r="R169" t="s">
        <v>1425</v>
      </c>
      <c r="S169" t="s">
        <v>1425</v>
      </c>
      <c r="T169" t="s">
        <v>1425</v>
      </c>
      <c r="U169" t="s">
        <v>1425</v>
      </c>
      <c r="V169" t="s">
        <v>1425</v>
      </c>
      <c r="W169" t="s">
        <v>1425</v>
      </c>
      <c r="X169" t="s">
        <v>1425</v>
      </c>
    </row>
    <row r="170" spans="1:24" x14ac:dyDescent="0.2">
      <c r="A170" s="31" t="s">
        <v>933</v>
      </c>
      <c r="B170" s="31">
        <v>2019</v>
      </c>
    </row>
    <row r="171" spans="1:24" x14ac:dyDescent="0.2">
      <c r="A171" s="31" t="s">
        <v>182</v>
      </c>
      <c r="B171" s="31">
        <v>2006</v>
      </c>
      <c r="C171" t="s">
        <v>1425</v>
      </c>
      <c r="D171" t="s">
        <v>1427</v>
      </c>
      <c r="E171" t="s">
        <v>1427</v>
      </c>
      <c r="F171" t="s">
        <v>1426</v>
      </c>
      <c r="G171" t="s">
        <v>1426</v>
      </c>
      <c r="H171" t="s">
        <v>1425</v>
      </c>
      <c r="I171" t="s">
        <v>1427</v>
      </c>
      <c r="J171" t="s">
        <v>1427</v>
      </c>
      <c r="K171" t="s">
        <v>1426</v>
      </c>
      <c r="L171" t="s">
        <v>1427</v>
      </c>
      <c r="M171" t="s">
        <v>1425</v>
      </c>
      <c r="N171" t="s">
        <v>1427</v>
      </c>
      <c r="O171" t="s">
        <v>1427</v>
      </c>
      <c r="P171" t="s">
        <v>1427</v>
      </c>
      <c r="Q171" t="s">
        <v>1425</v>
      </c>
      <c r="R171" t="s">
        <v>1425</v>
      </c>
      <c r="S171" t="s">
        <v>1426</v>
      </c>
      <c r="T171" t="s">
        <v>1426</v>
      </c>
      <c r="U171" t="s">
        <v>1427</v>
      </c>
      <c r="V171" t="s">
        <v>1427</v>
      </c>
      <c r="W171" t="s">
        <v>1425</v>
      </c>
      <c r="X171" t="s">
        <v>1427</v>
      </c>
    </row>
    <row r="172" spans="1:24" x14ac:dyDescent="0.2">
      <c r="A172" s="15" t="s">
        <v>177</v>
      </c>
      <c r="B172" s="15">
        <v>2006</v>
      </c>
      <c r="C172" t="s">
        <v>1425</v>
      </c>
      <c r="D172" t="s">
        <v>1427</v>
      </c>
      <c r="E172" t="s">
        <v>1425</v>
      </c>
      <c r="F172" t="s">
        <v>1426</v>
      </c>
      <c r="G172" t="s">
        <v>1426</v>
      </c>
      <c r="H172" t="s">
        <v>1425</v>
      </c>
      <c r="I172" t="s">
        <v>1427</v>
      </c>
      <c r="J172" t="s">
        <v>1427</v>
      </c>
      <c r="K172" t="s">
        <v>1426</v>
      </c>
      <c r="L172" t="s">
        <v>1427</v>
      </c>
      <c r="M172" t="s">
        <v>1425</v>
      </c>
      <c r="N172" t="s">
        <v>1427</v>
      </c>
      <c r="O172" t="s">
        <v>1427</v>
      </c>
      <c r="P172" t="s">
        <v>1427</v>
      </c>
      <c r="Q172" t="s">
        <v>1425</v>
      </c>
      <c r="R172" t="s">
        <v>1425</v>
      </c>
      <c r="S172" t="s">
        <v>1426</v>
      </c>
      <c r="T172" t="s">
        <v>1426</v>
      </c>
      <c r="U172" t="s">
        <v>1427</v>
      </c>
      <c r="V172" t="s">
        <v>1427</v>
      </c>
      <c r="W172" t="s">
        <v>1425</v>
      </c>
      <c r="X172" t="s">
        <v>1425</v>
      </c>
    </row>
    <row r="173" spans="1:24" x14ac:dyDescent="0.2">
      <c r="A173" s="30" t="s">
        <v>815</v>
      </c>
      <c r="B173" s="31">
        <v>2009</v>
      </c>
    </row>
    <row r="174" spans="1:24" x14ac:dyDescent="0.2">
      <c r="A174" s="31" t="s">
        <v>815</v>
      </c>
      <c r="B174" s="31">
        <v>2014</v>
      </c>
    </row>
    <row r="175" spans="1:24" x14ac:dyDescent="0.2">
      <c r="A175" s="31" t="s">
        <v>380</v>
      </c>
      <c r="B175" s="31">
        <v>2005</v>
      </c>
      <c r="C175" t="s">
        <v>1425</v>
      </c>
      <c r="D175" t="s">
        <v>1427</v>
      </c>
      <c r="E175" t="s">
        <v>1425</v>
      </c>
      <c r="F175" t="s">
        <v>1426</v>
      </c>
      <c r="G175" t="s">
        <v>1426</v>
      </c>
      <c r="H175" t="s">
        <v>1425</v>
      </c>
      <c r="I175" t="s">
        <v>1427</v>
      </c>
      <c r="J175" t="s">
        <v>1427</v>
      </c>
      <c r="K175" t="s">
        <v>1426</v>
      </c>
      <c r="L175" t="s">
        <v>1427</v>
      </c>
      <c r="M175" t="s">
        <v>1425</v>
      </c>
      <c r="N175" t="s">
        <v>1427</v>
      </c>
      <c r="O175" t="s">
        <v>1427</v>
      </c>
      <c r="P175" t="s">
        <v>1427</v>
      </c>
      <c r="Q175" t="s">
        <v>1425</v>
      </c>
      <c r="R175" t="s">
        <v>1425</v>
      </c>
      <c r="S175" t="s">
        <v>1426</v>
      </c>
      <c r="T175" t="s">
        <v>1426</v>
      </c>
      <c r="U175" t="s">
        <v>1427</v>
      </c>
      <c r="V175" t="s">
        <v>1427</v>
      </c>
      <c r="W175" t="s">
        <v>1425</v>
      </c>
      <c r="X175" t="s">
        <v>1425</v>
      </c>
    </row>
    <row r="176" spans="1:24" x14ac:dyDescent="0.2">
      <c r="A176" s="15" t="s">
        <v>143</v>
      </c>
      <c r="B176" s="15">
        <v>2019</v>
      </c>
      <c r="C176" t="s">
        <v>1425</v>
      </c>
      <c r="D176" t="s">
        <v>1425</v>
      </c>
      <c r="E176" t="s">
        <v>1425</v>
      </c>
      <c r="F176" t="s">
        <v>1425</v>
      </c>
      <c r="G176" t="s">
        <v>1425</v>
      </c>
      <c r="H176" t="s">
        <v>1425</v>
      </c>
      <c r="I176" t="s">
        <v>1425</v>
      </c>
      <c r="J176" t="s">
        <v>1425</v>
      </c>
      <c r="K176" t="s">
        <v>1425</v>
      </c>
      <c r="L176" t="s">
        <v>1425</v>
      </c>
      <c r="M176" t="s">
        <v>1425</v>
      </c>
      <c r="N176" t="s">
        <v>1425</v>
      </c>
      <c r="O176" t="s">
        <v>1425</v>
      </c>
      <c r="P176" t="s">
        <v>1425</v>
      </c>
      <c r="Q176" t="s">
        <v>1425</v>
      </c>
      <c r="R176" t="s">
        <v>1425</v>
      </c>
      <c r="S176" t="s">
        <v>1425</v>
      </c>
      <c r="T176" t="s">
        <v>1425</v>
      </c>
      <c r="U176" t="s">
        <v>1425</v>
      </c>
      <c r="V176" t="s">
        <v>1425</v>
      </c>
      <c r="W176" t="s">
        <v>1425</v>
      </c>
      <c r="X176" t="s">
        <v>1425</v>
      </c>
    </row>
    <row r="177" spans="1:24" x14ac:dyDescent="0.2">
      <c r="A177" s="31" t="s">
        <v>143</v>
      </c>
      <c r="B177" s="31">
        <v>2014</v>
      </c>
    </row>
    <row r="178" spans="1:24" x14ac:dyDescent="0.2">
      <c r="A178" s="31" t="s">
        <v>494</v>
      </c>
      <c r="B178" s="31">
        <v>2004</v>
      </c>
      <c r="C178" t="s">
        <v>1427</v>
      </c>
      <c r="D178" t="s">
        <v>1427</v>
      </c>
      <c r="E178" t="s">
        <v>1425</v>
      </c>
      <c r="F178" t="s">
        <v>1426</v>
      </c>
      <c r="G178" t="s">
        <v>1426</v>
      </c>
      <c r="H178" t="s">
        <v>1425</v>
      </c>
      <c r="I178" t="s">
        <v>1425</v>
      </c>
      <c r="J178" t="s">
        <v>1425</v>
      </c>
      <c r="K178" t="s">
        <v>1426</v>
      </c>
      <c r="L178" t="s">
        <v>1427</v>
      </c>
      <c r="M178" t="s">
        <v>1426</v>
      </c>
      <c r="N178" t="s">
        <v>1427</v>
      </c>
      <c r="O178" t="s">
        <v>1427</v>
      </c>
      <c r="P178" t="s">
        <v>1427</v>
      </c>
      <c r="Q178" t="s">
        <v>1425</v>
      </c>
      <c r="R178" t="s">
        <v>1425</v>
      </c>
      <c r="S178" t="s">
        <v>1426</v>
      </c>
      <c r="T178" t="s">
        <v>1427</v>
      </c>
      <c r="U178" t="s">
        <v>1427</v>
      </c>
      <c r="V178" t="s">
        <v>1427</v>
      </c>
      <c r="W178" t="s">
        <v>1425</v>
      </c>
      <c r="X178" t="s">
        <v>1427</v>
      </c>
    </row>
    <row r="179" spans="1:24" x14ac:dyDescent="0.2">
      <c r="A179" s="30" t="s">
        <v>817</v>
      </c>
      <c r="B179" s="31">
        <v>2006</v>
      </c>
    </row>
    <row r="180" spans="1:24" x14ac:dyDescent="0.2">
      <c r="A180" s="31" t="s">
        <v>817</v>
      </c>
      <c r="B180" s="31">
        <v>2014</v>
      </c>
    </row>
    <row r="181" spans="1:24" x14ac:dyDescent="0.2">
      <c r="A181" s="15" t="s">
        <v>29</v>
      </c>
      <c r="B181" s="15">
        <v>2014</v>
      </c>
      <c r="C181" t="s">
        <v>1427</v>
      </c>
      <c r="D181" t="s">
        <v>1427</v>
      </c>
      <c r="E181" t="s">
        <v>1425</v>
      </c>
      <c r="F181" t="s">
        <v>1426</v>
      </c>
      <c r="G181" t="s">
        <v>1426</v>
      </c>
      <c r="H181" t="s">
        <v>1425</v>
      </c>
      <c r="I181" t="s">
        <v>1425</v>
      </c>
      <c r="J181" t="s">
        <v>1425</v>
      </c>
      <c r="K181" t="s">
        <v>1425</v>
      </c>
      <c r="L181" t="s">
        <v>1425</v>
      </c>
      <c r="M181" t="s">
        <v>1425</v>
      </c>
      <c r="N181" t="s">
        <v>1425</v>
      </c>
      <c r="O181" t="s">
        <v>1427</v>
      </c>
      <c r="P181" t="s">
        <v>1425</v>
      </c>
      <c r="Q181" t="s">
        <v>1425</v>
      </c>
      <c r="R181" t="s">
        <v>1425</v>
      </c>
      <c r="S181" t="s">
        <v>1426</v>
      </c>
      <c r="T181" t="s">
        <v>1427</v>
      </c>
      <c r="U181" t="s">
        <v>1427</v>
      </c>
      <c r="V181" t="s">
        <v>1425</v>
      </c>
      <c r="W181" t="s">
        <v>1425</v>
      </c>
      <c r="X181" t="s">
        <v>1425</v>
      </c>
    </row>
    <row r="182" spans="1:24" x14ac:dyDescent="0.2">
      <c r="A182" s="30" t="s">
        <v>29</v>
      </c>
      <c r="B182" s="31">
        <v>2007</v>
      </c>
    </row>
    <row r="183" spans="1:24" x14ac:dyDescent="0.2">
      <c r="A183" s="31" t="s">
        <v>29</v>
      </c>
      <c r="B183" s="31">
        <v>2016</v>
      </c>
    </row>
    <row r="184" spans="1:24" x14ac:dyDescent="0.2">
      <c r="A184" s="31" t="s">
        <v>29</v>
      </c>
      <c r="B184" s="31">
        <v>2018</v>
      </c>
    </row>
    <row r="185" spans="1:24" x14ac:dyDescent="0.2">
      <c r="A185" s="15" t="s">
        <v>179</v>
      </c>
      <c r="B185" s="15">
        <v>2015</v>
      </c>
      <c r="C185" t="s">
        <v>1425</v>
      </c>
      <c r="D185" t="s">
        <v>1425</v>
      </c>
      <c r="E185" t="s">
        <v>1425</v>
      </c>
      <c r="F185" t="s">
        <v>1425</v>
      </c>
      <c r="G185" t="s">
        <v>1425</v>
      </c>
      <c r="H185" t="s">
        <v>1425</v>
      </c>
      <c r="I185" t="s">
        <v>1425</v>
      </c>
      <c r="J185" t="s">
        <v>1425</v>
      </c>
      <c r="K185" t="s">
        <v>1425</v>
      </c>
      <c r="L185" t="s">
        <v>1425</v>
      </c>
      <c r="M185" t="s">
        <v>1425</v>
      </c>
      <c r="N185" t="s">
        <v>1425</v>
      </c>
      <c r="O185" t="s">
        <v>1425</v>
      </c>
      <c r="P185" t="s">
        <v>1425</v>
      </c>
      <c r="Q185" t="s">
        <v>1425</v>
      </c>
      <c r="R185" t="s">
        <v>1425</v>
      </c>
      <c r="S185" t="s">
        <v>1425</v>
      </c>
      <c r="T185" t="s">
        <v>1425</v>
      </c>
      <c r="U185" t="s">
        <v>1425</v>
      </c>
      <c r="V185" t="s">
        <v>1425</v>
      </c>
      <c r="W185" t="s">
        <v>1425</v>
      </c>
      <c r="X185" t="s">
        <v>1425</v>
      </c>
    </row>
    <row r="186" spans="1:24" x14ac:dyDescent="0.2">
      <c r="A186" s="31" t="s">
        <v>934</v>
      </c>
      <c r="B186" s="31">
        <v>2020</v>
      </c>
    </row>
    <row r="187" spans="1:24" x14ac:dyDescent="0.2">
      <c r="A187" s="31" t="s">
        <v>1234</v>
      </c>
      <c r="B187" s="31">
        <v>1990</v>
      </c>
      <c r="C187" t="s">
        <v>1427</v>
      </c>
      <c r="D187" t="s">
        <v>1427</v>
      </c>
      <c r="E187" t="s">
        <v>1425</v>
      </c>
      <c r="F187" t="s">
        <v>1426</v>
      </c>
      <c r="G187" t="s">
        <v>1426</v>
      </c>
      <c r="H187" t="s">
        <v>1425</v>
      </c>
      <c r="I187" t="s">
        <v>1425</v>
      </c>
      <c r="J187" t="s">
        <v>1425</v>
      </c>
      <c r="K187" t="s">
        <v>1426</v>
      </c>
      <c r="L187" t="s">
        <v>1427</v>
      </c>
      <c r="M187" t="s">
        <v>1425</v>
      </c>
      <c r="N187" t="s">
        <v>1425</v>
      </c>
      <c r="O187" t="s">
        <v>1427</v>
      </c>
      <c r="P187" t="s">
        <v>1425</v>
      </c>
      <c r="Q187" t="s">
        <v>1425</v>
      </c>
      <c r="R187" t="s">
        <v>1425</v>
      </c>
      <c r="S187" t="s">
        <v>1426</v>
      </c>
      <c r="T187" t="s">
        <v>1427</v>
      </c>
      <c r="U187" t="s">
        <v>1427</v>
      </c>
      <c r="V187" t="s">
        <v>1427</v>
      </c>
      <c r="W187" t="s">
        <v>1425</v>
      </c>
      <c r="X187" t="s">
        <v>1427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Index</vt:lpstr>
      <vt:lpstr>BBDD</vt:lpstr>
      <vt:lpstr>PrimaryPapers_review</vt:lpstr>
      <vt:lpstr>RoB-2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Allel, Kasim</dc:creator>
  <cp:lastModifiedBy>Kasim Allel</cp:lastModifiedBy>
  <dcterms:created xsi:type="dcterms:W3CDTF">2025-01-23T14:16:56Z</dcterms:created>
  <dcterms:modified xsi:type="dcterms:W3CDTF">2026-02-20T16:52:05Z</dcterms:modified>
</cp:coreProperties>
</file>